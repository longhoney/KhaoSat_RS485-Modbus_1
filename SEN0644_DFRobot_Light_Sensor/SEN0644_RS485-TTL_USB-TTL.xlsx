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Git\Github\longhoney\SEN0644_DFRobot_Light_Sensor\"/>
    </mc:Choice>
  </mc:AlternateContent>
  <xr:revisionPtr revIDLastSave="0" documentId="13_ncr:1_{C680B13E-88B3-465E-8A3D-EA0F9EBF0D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ad_Data" sheetId="1" r:id="rId1"/>
    <sheet name="Config" sheetId="2" r:id="rId2"/>
    <sheet name="Scan" sheetId="4" r:id="rId3"/>
    <sheet name="F_Reset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" l="1"/>
  <c r="K17" i="4"/>
  <c r="J17" i="4"/>
  <c r="I17" i="4"/>
  <c r="H17" i="4"/>
  <c r="G17" i="4"/>
  <c r="F17" i="4"/>
  <c r="E17" i="4"/>
  <c r="D17" i="4"/>
  <c r="C17" i="4"/>
  <c r="B6" i="4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5" i="3"/>
  <c r="K13" i="1"/>
  <c r="J13" i="1"/>
  <c r="I13" i="1"/>
  <c r="H13" i="1"/>
  <c r="G13" i="1"/>
  <c r="F13" i="1"/>
  <c r="E13" i="1"/>
  <c r="D13" i="1"/>
  <c r="C13" i="1"/>
  <c r="B6" i="1"/>
</calcChain>
</file>

<file path=xl/sharedStrings.xml><?xml version="1.0" encoding="utf-8"?>
<sst xmlns="http://schemas.openxmlformats.org/spreadsheetml/2006/main" count="136" uniqueCount="67">
  <si>
    <t>Address code</t>
  </si>
  <si>
    <t>Function code</t>
  </si>
  <si>
    <t>Register start address</t>
  </si>
  <si>
    <t>Register length</t>
  </si>
  <si>
    <t>Check code low bit</t>
  </si>
  <si>
    <t>Check code high bit</t>
  </si>
  <si>
    <t>0x03</t>
  </si>
  <si>
    <t>Byte no.</t>
  </si>
  <si>
    <t>0x00</t>
  </si>
  <si>
    <t>0x02</t>
  </si>
  <si>
    <t>Tool tính CRC</t>
  </si>
  <si>
    <t>SEND FRAME</t>
  </si>
  <si>
    <t>Return valid bytes</t>
  </si>
  <si>
    <t>Illumination data high 16 bits</t>
  </si>
  <si>
    <t>Illumination data low 16 bits</t>
  </si>
  <si>
    <t xml:space="preserve">0x00 </t>
  </si>
  <si>
    <t>Mặc định</t>
  </si>
  <si>
    <t>Địa chỉ mặc định: 0x01</t>
  </si>
  <si>
    <t>Baudrate mặc định: 9600</t>
  </si>
  <si>
    <t>Thay đổi địa chỉ và thay đổi baudrate</t>
  </si>
  <si>
    <t>Modify address</t>
  </si>
  <si>
    <t>Modify baud rate</t>
  </si>
  <si>
    <t>Parity check</t>
  </si>
  <si>
    <t>0x10</t>
  </si>
  <si>
    <t>0x64</t>
  </si>
  <si>
    <t>Địa chỉ hiện tại</t>
  </si>
  <si>
    <t>Các địa chỉ có thể thay đổi: 1 - 254</t>
  </si>
  <si>
    <t xml:space="preserve">Baudrate có thể thay đổi: </t>
  </si>
  <si>
    <t>Ổn định: 0-1200, 1-2400, 2-4800, 3-9600</t>
  </si>
  <si>
    <t>Còn lại:  4-19200, 5-38400, 6-57600</t>
  </si>
  <si>
    <t>Copy ở đây</t>
  </si>
  <si>
    <t>Phần mềm trả về kết quả</t>
  </si>
  <si>
    <t>Ghép vào frame</t>
  </si>
  <si>
    <t>Factory Reset</t>
  </si>
  <si>
    <t>Register address</t>
  </si>
  <si>
    <t>Modify data</t>
  </si>
  <si>
    <t>Check code low</t>
  </si>
  <si>
    <t>Check code high</t>
  </si>
  <si>
    <t>0xFF</t>
  </si>
  <si>
    <t>0x06</t>
  </si>
  <si>
    <t>0x9C</t>
  </si>
  <si>
    <t>0x27</t>
  </si>
  <si>
    <t xml:space="preserve"> 0xF0</t>
  </si>
  <si>
    <t>Sử dụng phần mềm Hercules</t>
  </si>
  <si>
    <t>Thử các Baudrate sau nếu giao tiếp không thành công</t>
  </si>
  <si>
    <t>Nhớ rút nguồn cảm biến và kết nối lại</t>
  </si>
  <si>
    <t>{01}{10}{00}{64}{00}{03}{00}{21}{00}{02}{00}{00}{79}{04}</t>
  </si>
  <si>
    <t>Data length</t>
  </si>
  <si>
    <t>0x90</t>
  </si>
  <si>
    <t>0x0A</t>
  </si>
  <si>
    <t>Device address</t>
  </si>
  <si>
    <t>Baud rate</t>
  </si>
  <si>
    <t>0x07</t>
  </si>
  <si>
    <t>Tham khảo</t>
  </si>
  <si>
    <t>CRC = 0xCB65</t>
  </si>
  <si>
    <t>{01}{03}{04}{00}{00}{C4}{25}{69}{28}</t>
  </si>
  <si>
    <t>Đổi sang 0x11</t>
  </si>
  <si>
    <t>Đổi sang 19200</t>
  </si>
  <si>
    <t>0x04</t>
  </si>
  <si>
    <t>0x11</t>
  </si>
  <si>
    <t>CRC = 0x09D1</t>
  </si>
  <si>
    <t>0xD1</t>
  </si>
  <si>
    <t>0x09</t>
  </si>
  <si>
    <t>{11}{03}{04}{00}{11}{00}{04}{BA}{34}</t>
  </si>
  <si>
    <t>CRC = 0x5B67</t>
  </si>
  <si>
    <t>0x67</t>
  </si>
  <si>
    <t>0x5B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</si>
</sst>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/>
    <xf numFmtId="0" fontId="0" fillId="3" borderId="0" xfId="0" applyFill="1"/>
    <xf numFmtId="0" fontId="0" fillId="4" borderId="0" xfId="0" applyFill="1"/>
    <xf numFmtId="49" fontId="0" fillId="0" borderId="0" xfId="0" applyNumberFormat="1"/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iki.dfrobot.com/sen0644/docs/19609" TargetMode="External"/><Relationship Id="rId1" Type="http://schemas.openxmlformats.org/officeDocument/2006/relationships/hyperlink" Target="https://crccalc.com/?crc=123456789&amp;method=&amp;datatype=ascii&amp;outtype=h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B6" sqref="B6"/>
    </sheetView>
  </sheetViews>
  <sheetFormatPr defaultRowHeight="14.5" x14ac:dyDescent="0.35"/>
  <cols>
    <col min="5" max="5" width="9.08984375" bestFit="1" customWidth="1"/>
    <col min="11" max="11" width="8.7265625" customWidth="1"/>
  </cols>
  <sheetData>
    <row r="1" spans="1:17" x14ac:dyDescent="0.35">
      <c r="A1" t="s">
        <v>43</v>
      </c>
      <c r="M1" s="1" t="s">
        <v>53</v>
      </c>
    </row>
    <row r="2" spans="1:17" x14ac:dyDescent="0.35">
      <c r="A2" s="16" t="s">
        <v>11</v>
      </c>
      <c r="B2" t="s">
        <v>7</v>
      </c>
      <c r="C2" s="5">
        <v>0</v>
      </c>
      <c r="D2" s="5">
        <v>1</v>
      </c>
      <c r="E2" s="5">
        <v>2</v>
      </c>
      <c r="F2" s="5">
        <v>3</v>
      </c>
      <c r="G2" s="5">
        <v>4</v>
      </c>
      <c r="H2" s="5">
        <v>5</v>
      </c>
      <c r="I2" s="5">
        <v>6</v>
      </c>
      <c r="J2" s="5">
        <v>7</v>
      </c>
    </row>
    <row r="3" spans="1:17" ht="43.5" x14ac:dyDescent="0.35">
      <c r="A3" s="16"/>
      <c r="C3" s="6" t="s">
        <v>0</v>
      </c>
      <c r="D3" s="6" t="s">
        <v>1</v>
      </c>
      <c r="E3" s="14" t="s">
        <v>2</v>
      </c>
      <c r="F3" s="14"/>
      <c r="G3" s="14" t="s">
        <v>3</v>
      </c>
      <c r="H3" s="14"/>
      <c r="I3" s="6" t="s">
        <v>4</v>
      </c>
      <c r="J3" s="6" t="s">
        <v>5</v>
      </c>
    </row>
    <row r="4" spans="1:17" x14ac:dyDescent="0.35">
      <c r="A4" s="16"/>
      <c r="C4" s="10" t="s">
        <v>59</v>
      </c>
      <c r="D4" s="10" t="s">
        <v>6</v>
      </c>
      <c r="E4" s="10" t="s">
        <v>8</v>
      </c>
      <c r="F4" s="10" t="s">
        <v>9</v>
      </c>
      <c r="G4" s="10" t="s">
        <v>8</v>
      </c>
      <c r="H4" s="10" t="s">
        <v>9</v>
      </c>
      <c r="I4" s="10" t="s">
        <v>65</v>
      </c>
      <c r="J4" s="10" t="s">
        <v>66</v>
      </c>
      <c r="M4" t="s">
        <v>17</v>
      </c>
      <c r="P4" s="15" t="s">
        <v>54</v>
      </c>
      <c r="Q4" s="15"/>
    </row>
    <row r="5" spans="1:17" x14ac:dyDescent="0.35">
      <c r="C5" s="2" t="s">
        <v>16</v>
      </c>
      <c r="G5" s="1" t="s">
        <v>10</v>
      </c>
      <c r="I5" s="15" t="s">
        <v>64</v>
      </c>
      <c r="J5" s="15"/>
      <c r="M5" t="s">
        <v>18</v>
      </c>
    </row>
    <row r="6" spans="1:17" ht="29" x14ac:dyDescent="0.35">
      <c r="A6" s="9" t="s">
        <v>30</v>
      </c>
      <c r="B6" t="str">
        <f>TRIM(MID(C4,3,2)&amp;" "&amp;MID(D4,3,2)&amp;" "&amp;MID(E4,3,2)&amp;" "&amp;MID(F4,3,2)&amp;" "&amp;MID(G4,3,2)&amp;" "&amp;MID(H4,3,2)&amp;" "&amp;MID(I4,3,2)&amp;" "&amp;MID(J4,3,2))</f>
        <v>11 03 00 02 00 02 67 5B</v>
      </c>
    </row>
    <row r="8" spans="1:17" s="12" customFormat="1" x14ac:dyDescent="0.35"/>
    <row r="9" spans="1:17" x14ac:dyDescent="0.35">
      <c r="A9" s="11" t="s">
        <v>31</v>
      </c>
    </row>
    <row r="10" spans="1:17" x14ac:dyDescent="0.35">
      <c r="A10" t="s">
        <v>55</v>
      </c>
    </row>
    <row r="11" spans="1:17" x14ac:dyDescent="0.35">
      <c r="B11" t="s">
        <v>7</v>
      </c>
      <c r="C11" s="5">
        <v>0</v>
      </c>
      <c r="D11" s="5">
        <v>1</v>
      </c>
      <c r="E11" s="5">
        <v>2</v>
      </c>
      <c r="F11" s="5">
        <v>3</v>
      </c>
      <c r="G11" s="5">
        <v>4</v>
      </c>
      <c r="H11" s="5">
        <v>5</v>
      </c>
      <c r="I11" s="5">
        <v>6</v>
      </c>
      <c r="J11" s="5">
        <v>7</v>
      </c>
      <c r="K11" s="5">
        <v>8</v>
      </c>
    </row>
    <row r="12" spans="1:17" ht="43.5" x14ac:dyDescent="0.35">
      <c r="A12" t="s">
        <v>32</v>
      </c>
      <c r="C12" s="6" t="s">
        <v>0</v>
      </c>
      <c r="D12" s="6" t="s">
        <v>1</v>
      </c>
      <c r="E12" s="7" t="s">
        <v>12</v>
      </c>
      <c r="F12" s="17" t="s">
        <v>13</v>
      </c>
      <c r="G12" s="18"/>
      <c r="H12" s="17" t="s">
        <v>14</v>
      </c>
      <c r="I12" s="18"/>
      <c r="J12" s="6" t="s">
        <v>4</v>
      </c>
      <c r="K12" s="6" t="s">
        <v>5</v>
      </c>
    </row>
    <row r="13" spans="1:17" x14ac:dyDescent="0.35">
      <c r="C13" s="5" t="str">
        <f t="shared" ref="C13:J13" si="0">"0x"&amp;MID(SUBSTITUTE(SUBSTITUTE($A$10,"{",""),"}",""),(COLUMN(A10)-1)*2+1,2)</f>
        <v>0x01</v>
      </c>
      <c r="D13" s="5" t="str">
        <f t="shared" si="0"/>
        <v>0x03</v>
      </c>
      <c r="E13" s="5" t="str">
        <f t="shared" si="0"/>
        <v>0x04</v>
      </c>
      <c r="F13" s="5" t="str">
        <f t="shared" si="0"/>
        <v>0x00</v>
      </c>
      <c r="G13" s="5" t="str">
        <f t="shared" si="0"/>
        <v>0x00</v>
      </c>
      <c r="H13" s="5" t="str">
        <f t="shared" si="0"/>
        <v>0xC4</v>
      </c>
      <c r="I13" s="5" t="str">
        <f t="shared" si="0"/>
        <v>0x25</v>
      </c>
      <c r="J13" s="5" t="str">
        <f t="shared" si="0"/>
        <v>0x69</v>
      </c>
      <c r="K13" s="5" t="str">
        <f t="shared" ref="K13" si="1">"0x"&amp;MID(SUBSTITUTE(SUBSTITUTE($A$10,"{",""),"}",""),(COLUMN(I10)-1)*2+1,2)</f>
        <v>0x28</v>
      </c>
    </row>
  </sheetData>
  <mergeCells count="7">
    <mergeCell ref="P4:Q4"/>
    <mergeCell ref="E3:F3"/>
    <mergeCell ref="G3:H3"/>
    <mergeCell ref="I5:J5"/>
    <mergeCell ref="A2:A4"/>
    <mergeCell ref="F12:G12"/>
    <mergeCell ref="H12:I12"/>
  </mergeCells>
  <hyperlinks>
    <hyperlink ref="G5" r:id="rId1" xr:uid="{F9610125-9B04-4658-8300-728703DC5B34}"/>
    <hyperlink ref="M1" r:id="rId2" xr:uid="{F3AB956B-6459-4777-B304-D0D948A6B343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3827-F0D9-469B-8F4C-757A2403C253}">
  <dimension ref="A1:P17"/>
  <sheetViews>
    <sheetView workbookViewId="0">
      <selection activeCell="B6" sqref="B6"/>
    </sheetView>
  </sheetViews>
  <sheetFormatPr defaultRowHeight="14.5" x14ac:dyDescent="0.35"/>
  <cols>
    <col min="13" max="14" width="9.36328125" customWidth="1"/>
  </cols>
  <sheetData>
    <row r="1" spans="1:16" ht="21" x14ac:dyDescent="0.5">
      <c r="A1" s="3" t="s">
        <v>19</v>
      </c>
    </row>
    <row r="2" spans="1:16" x14ac:dyDescent="0.35">
      <c r="A2" s="16" t="s">
        <v>11</v>
      </c>
      <c r="B2" t="s">
        <v>7</v>
      </c>
      <c r="C2" s="5">
        <v>0</v>
      </c>
      <c r="D2" s="5">
        <v>1</v>
      </c>
      <c r="E2" s="5">
        <v>2</v>
      </c>
      <c r="F2" s="5">
        <v>3</v>
      </c>
      <c r="G2" s="5">
        <v>4</v>
      </c>
      <c r="H2" s="5">
        <v>5</v>
      </c>
      <c r="I2" s="5">
        <v>6</v>
      </c>
      <c r="J2" s="5">
        <v>7</v>
      </c>
      <c r="K2" s="5">
        <v>8</v>
      </c>
      <c r="L2" s="5">
        <v>9</v>
      </c>
      <c r="M2" s="5">
        <v>10</v>
      </c>
      <c r="N2" s="5">
        <v>11</v>
      </c>
      <c r="O2" s="5">
        <v>12</v>
      </c>
      <c r="P2" s="5">
        <v>13</v>
      </c>
    </row>
    <row r="3" spans="1:16" ht="43.5" x14ac:dyDescent="0.35">
      <c r="A3" s="16"/>
      <c r="C3" s="6" t="s">
        <v>0</v>
      </c>
      <c r="D3" s="6" t="s">
        <v>1</v>
      </c>
      <c r="E3" s="14" t="s">
        <v>2</v>
      </c>
      <c r="F3" s="14"/>
      <c r="G3" s="14" t="s">
        <v>3</v>
      </c>
      <c r="H3" s="14"/>
      <c r="I3" s="20" t="s">
        <v>20</v>
      </c>
      <c r="J3" s="20"/>
      <c r="K3" s="20" t="s">
        <v>21</v>
      </c>
      <c r="L3" s="20"/>
      <c r="M3" s="14" t="s">
        <v>22</v>
      </c>
      <c r="N3" s="14"/>
      <c r="O3" s="6" t="s">
        <v>4</v>
      </c>
      <c r="P3" s="6" t="s">
        <v>5</v>
      </c>
    </row>
    <row r="4" spans="1:16" x14ac:dyDescent="0.35">
      <c r="A4" s="16"/>
      <c r="C4" s="5" t="s">
        <v>52</v>
      </c>
      <c r="D4" s="5" t="s">
        <v>23</v>
      </c>
      <c r="E4" s="5" t="s">
        <v>8</v>
      </c>
      <c r="F4" s="5" t="s">
        <v>24</v>
      </c>
      <c r="G4" s="5" t="s">
        <v>8</v>
      </c>
      <c r="H4" s="5" t="s">
        <v>6</v>
      </c>
      <c r="I4" s="5" t="s">
        <v>8</v>
      </c>
      <c r="J4" s="5" t="s">
        <v>59</v>
      </c>
      <c r="K4" s="5" t="s">
        <v>8</v>
      </c>
      <c r="L4" s="5" t="s">
        <v>58</v>
      </c>
      <c r="M4" s="5" t="s">
        <v>8</v>
      </c>
      <c r="N4" s="5" t="s">
        <v>8</v>
      </c>
      <c r="O4" s="5" t="s">
        <v>61</v>
      </c>
      <c r="P4" s="5" t="s">
        <v>62</v>
      </c>
    </row>
    <row r="5" spans="1:16" ht="29" x14ac:dyDescent="0.35">
      <c r="C5" s="4" t="s">
        <v>25</v>
      </c>
      <c r="I5" s="19" t="s">
        <v>56</v>
      </c>
      <c r="J5" s="19"/>
      <c r="K5" s="19" t="s">
        <v>57</v>
      </c>
      <c r="L5" s="19"/>
      <c r="O5" s="19" t="s">
        <v>60</v>
      </c>
      <c r="P5" s="19"/>
    </row>
    <row r="6" spans="1:16" ht="29" x14ac:dyDescent="0.35">
      <c r="A6" s="9" t="s">
        <v>30</v>
      </c>
      <c r="B6" t="str">
        <f>TRIM(MID(C4,3,2)&amp;" "&amp;MID(D4,3,2)&amp;" "&amp;MID(E4,3,2)&amp;" "&amp;MID(F4,3,2)&amp;" "&amp;MID(G4,3,2)&amp;" "&amp;MID(H4,3,2)&amp;" "&amp;MID(I4,3,2)&amp;" "&amp;MID(J4,3,2)&amp;" "&amp;MID(K4,3,2)&amp;" "&amp;MID(L4,3,2)&amp;" "&amp;MID(M4,3,2)&amp;" "&amp;MID(N4,3,2)&amp;" "&amp;MID(O4,3,2)&amp;" "&amp;MID(P4,3,2))</f>
        <v>07 10 00 64 00 03 00 11 00 04 00 00 D1 09</v>
      </c>
    </row>
    <row r="7" spans="1:16" x14ac:dyDescent="0.35">
      <c r="C7" t="s">
        <v>26</v>
      </c>
    </row>
    <row r="8" spans="1:16" x14ac:dyDescent="0.35">
      <c r="C8" t="s">
        <v>27</v>
      </c>
    </row>
    <row r="9" spans="1:16" x14ac:dyDescent="0.35">
      <c r="D9" t="s">
        <v>28</v>
      </c>
    </row>
    <row r="10" spans="1:16" x14ac:dyDescent="0.35">
      <c r="D10" t="s">
        <v>29</v>
      </c>
    </row>
    <row r="11" spans="1:16" x14ac:dyDescent="0.35">
      <c r="A11" s="9"/>
    </row>
    <row r="12" spans="1:16" s="12" customFormat="1" x14ac:dyDescent="0.35"/>
    <row r="13" spans="1:16" x14ac:dyDescent="0.35">
      <c r="A13" s="11" t="s">
        <v>31</v>
      </c>
    </row>
    <row r="14" spans="1:16" x14ac:dyDescent="0.35">
      <c r="A14" t="s">
        <v>46</v>
      </c>
    </row>
    <row r="15" spans="1:16" x14ac:dyDescent="0.35">
      <c r="B15" t="s">
        <v>7</v>
      </c>
      <c r="C15" s="5">
        <v>0</v>
      </c>
      <c r="D15" s="5">
        <v>1</v>
      </c>
      <c r="E15" s="5">
        <v>2</v>
      </c>
      <c r="F15" s="5">
        <v>3</v>
      </c>
      <c r="G15" s="5">
        <v>4</v>
      </c>
      <c r="H15" s="5">
        <v>5</v>
      </c>
      <c r="I15" s="5">
        <v>6</v>
      </c>
      <c r="J15" s="5">
        <v>7</v>
      </c>
      <c r="K15" s="5">
        <v>8</v>
      </c>
      <c r="L15" s="5">
        <v>9</v>
      </c>
      <c r="M15" s="5">
        <v>10</v>
      </c>
      <c r="N15" s="5">
        <v>11</v>
      </c>
      <c r="O15" s="5">
        <v>12</v>
      </c>
      <c r="P15" s="5">
        <v>13</v>
      </c>
    </row>
    <row r="16" spans="1:16" ht="43.5" x14ac:dyDescent="0.35">
      <c r="A16" t="s">
        <v>32</v>
      </c>
      <c r="C16" s="6" t="s">
        <v>0</v>
      </c>
      <c r="D16" s="6" t="s">
        <v>1</v>
      </c>
      <c r="E16" s="14" t="s">
        <v>2</v>
      </c>
      <c r="F16" s="14"/>
      <c r="G16" s="14" t="s">
        <v>3</v>
      </c>
      <c r="H16" s="14"/>
      <c r="I16" s="20" t="s">
        <v>20</v>
      </c>
      <c r="J16" s="20"/>
      <c r="K16" s="20" t="s">
        <v>21</v>
      </c>
      <c r="L16" s="20"/>
      <c r="M16" s="14" t="s">
        <v>22</v>
      </c>
      <c r="N16" s="14"/>
      <c r="O16" s="6" t="s">
        <v>4</v>
      </c>
      <c r="P16" s="6" t="s">
        <v>5</v>
      </c>
    </row>
    <row r="17" spans="3:16" x14ac:dyDescent="0.35">
      <c r="C17" s="5" t="str">
        <f>"0x"&amp;MID(SUBSTITUTE(SUBSTITUTE($A$14,"{",""),"}",""),(COLUMN(A14)-1)*2+1,2)</f>
        <v>0x01</v>
      </c>
      <c r="D17" s="5" t="str">
        <f t="shared" ref="D17:P17" si="0">"0x"&amp;MID(SUBSTITUTE(SUBSTITUTE($A$14,"{",""),"}",""),(COLUMN(B14)-1)*2+1,2)</f>
        <v>0x10</v>
      </c>
      <c r="E17" s="5" t="str">
        <f t="shared" si="0"/>
        <v>0x00</v>
      </c>
      <c r="F17" s="5" t="str">
        <f t="shared" si="0"/>
        <v>0x64</v>
      </c>
      <c r="G17" s="5" t="str">
        <f t="shared" si="0"/>
        <v>0x00</v>
      </c>
      <c r="H17" s="5" t="str">
        <f t="shared" si="0"/>
        <v>0x03</v>
      </c>
      <c r="I17" s="5" t="str">
        <f t="shared" si="0"/>
        <v>0x00</v>
      </c>
      <c r="J17" s="5" t="str">
        <f t="shared" si="0"/>
        <v>0x21</v>
      </c>
      <c r="K17" s="5" t="str">
        <f t="shared" si="0"/>
        <v>0x00</v>
      </c>
      <c r="L17" s="5" t="str">
        <f t="shared" si="0"/>
        <v>0x02</v>
      </c>
      <c r="M17" s="5" t="str">
        <f t="shared" si="0"/>
        <v>0x00</v>
      </c>
      <c r="N17" s="5" t="str">
        <f t="shared" si="0"/>
        <v>0x00</v>
      </c>
      <c r="O17" s="5" t="str">
        <f t="shared" si="0"/>
        <v>0x79</v>
      </c>
      <c r="P17" s="5" t="str">
        <f t="shared" si="0"/>
        <v>0x04</v>
      </c>
    </row>
  </sheetData>
  <mergeCells count="14">
    <mergeCell ref="E16:F16"/>
    <mergeCell ref="G16:H16"/>
    <mergeCell ref="I16:J16"/>
    <mergeCell ref="K16:L16"/>
    <mergeCell ref="M16:N16"/>
    <mergeCell ref="O5:P5"/>
    <mergeCell ref="A2:A4"/>
    <mergeCell ref="E3:F3"/>
    <mergeCell ref="G3:H3"/>
    <mergeCell ref="I3:J3"/>
    <mergeCell ref="K3:L3"/>
    <mergeCell ref="I5:J5"/>
    <mergeCell ref="K5:L5"/>
    <mergeCell ref="M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5AE2-D427-4080-A06B-A4784F0A1AED}">
  <dimension ref="A2:K17"/>
  <sheetViews>
    <sheetView topLeftCell="A7" workbookViewId="0">
      <selection activeCell="B22" sqref="B22"/>
    </sheetView>
  </sheetViews>
  <sheetFormatPr defaultRowHeight="14.5" x14ac:dyDescent="0.35"/>
  <sheetData>
    <row r="2" spans="1:11" x14ac:dyDescent="0.35">
      <c r="A2" s="16" t="s">
        <v>11</v>
      </c>
      <c r="B2" t="s">
        <v>7</v>
      </c>
      <c r="C2" s="5">
        <v>0</v>
      </c>
      <c r="D2" s="5">
        <v>1</v>
      </c>
      <c r="E2" s="5">
        <v>2</v>
      </c>
      <c r="F2" s="5">
        <v>3</v>
      </c>
      <c r="G2" s="5">
        <v>4</v>
      </c>
      <c r="H2" s="5">
        <v>5</v>
      </c>
      <c r="I2" s="5">
        <v>6</v>
      </c>
      <c r="J2" s="5">
        <v>7</v>
      </c>
    </row>
    <row r="3" spans="1:11" ht="43.5" x14ac:dyDescent="0.35">
      <c r="A3" s="16"/>
      <c r="C3" s="6" t="s">
        <v>0</v>
      </c>
      <c r="D3" s="6" t="s">
        <v>1</v>
      </c>
      <c r="E3" s="14" t="s">
        <v>2</v>
      </c>
      <c r="F3" s="14"/>
      <c r="G3" s="14" t="s">
        <v>47</v>
      </c>
      <c r="H3" s="14"/>
      <c r="I3" s="6" t="s">
        <v>4</v>
      </c>
      <c r="J3" s="6" t="s">
        <v>5</v>
      </c>
    </row>
    <row r="4" spans="1:11" x14ac:dyDescent="0.35">
      <c r="A4" s="16"/>
      <c r="C4" s="10" t="s">
        <v>38</v>
      </c>
      <c r="D4" s="10" t="s">
        <v>6</v>
      </c>
      <c r="E4" s="10" t="s">
        <v>8</v>
      </c>
      <c r="F4" s="10" t="s">
        <v>24</v>
      </c>
      <c r="G4" s="10" t="s">
        <v>8</v>
      </c>
      <c r="H4" s="10" t="s">
        <v>9</v>
      </c>
      <c r="I4" s="10" t="s">
        <v>48</v>
      </c>
      <c r="J4" s="10" t="s">
        <v>49</v>
      </c>
    </row>
    <row r="5" spans="1:11" x14ac:dyDescent="0.35">
      <c r="A5" s="8"/>
      <c r="C5" s="13"/>
      <c r="D5" s="13"/>
      <c r="E5" s="13"/>
      <c r="F5" s="13"/>
      <c r="G5" s="13"/>
      <c r="H5" s="13"/>
      <c r="I5" s="13"/>
      <c r="J5" s="13"/>
    </row>
    <row r="6" spans="1:11" ht="29" x14ac:dyDescent="0.35">
      <c r="A6" s="9" t="s">
        <v>30</v>
      </c>
      <c r="B6" t="str">
        <f>TRIM(MID(C4,3,2)&amp;" "&amp;MID(D4,3,2)&amp;" "&amp;MID(E4,3,2)&amp;" "&amp;MID(F4,3,2)&amp;" "&amp;MID(G4,3,2)&amp;" "&amp;MID(H4,3,2)&amp;" "&amp;MID(I4,3,2)&amp;" "&amp;MID(J4,3,2))</f>
        <v>FF 03 00 64 00 02 90 0A</v>
      </c>
    </row>
    <row r="8" spans="1:11" x14ac:dyDescent="0.35">
      <c r="C8" t="s">
        <v>44</v>
      </c>
    </row>
    <row r="9" spans="1:11" x14ac:dyDescent="0.35">
      <c r="D9" t="s">
        <v>28</v>
      </c>
    </row>
    <row r="10" spans="1:11" x14ac:dyDescent="0.35">
      <c r="D10" t="s">
        <v>29</v>
      </c>
    </row>
    <row r="12" spans="1:11" s="12" customFormat="1" x14ac:dyDescent="0.35"/>
    <row r="13" spans="1:11" x14ac:dyDescent="0.35">
      <c r="A13" s="11" t="s">
        <v>31</v>
      </c>
    </row>
    <row r="14" spans="1:11" x14ac:dyDescent="0.35">
      <c r="A14" t="s">
        <v>63</v>
      </c>
    </row>
    <row r="15" spans="1:11" x14ac:dyDescent="0.35">
      <c r="B15" t="s">
        <v>7</v>
      </c>
      <c r="C15" s="5">
        <v>0</v>
      </c>
      <c r="D15" s="5">
        <v>1</v>
      </c>
      <c r="E15" s="5">
        <v>2</v>
      </c>
      <c r="F15" s="5">
        <v>3</v>
      </c>
      <c r="G15" s="5">
        <v>4</v>
      </c>
      <c r="H15" s="5">
        <v>5</v>
      </c>
      <c r="I15" s="5">
        <v>6</v>
      </c>
      <c r="J15" s="5">
        <v>7</v>
      </c>
      <c r="K15" s="5">
        <v>8</v>
      </c>
    </row>
    <row r="16" spans="1:11" ht="43.5" x14ac:dyDescent="0.35">
      <c r="A16" t="s">
        <v>32</v>
      </c>
      <c r="C16" s="6" t="s">
        <v>0</v>
      </c>
      <c r="D16" s="6" t="s">
        <v>1</v>
      </c>
      <c r="E16" s="7" t="s">
        <v>12</v>
      </c>
      <c r="F16" s="17" t="s">
        <v>50</v>
      </c>
      <c r="G16" s="18"/>
      <c r="H16" s="17" t="s">
        <v>51</v>
      </c>
      <c r="I16" s="18"/>
      <c r="J16" s="6" t="s">
        <v>4</v>
      </c>
      <c r="K16" s="6" t="s">
        <v>5</v>
      </c>
    </row>
    <row r="17" spans="3:11" x14ac:dyDescent="0.35">
      <c r="C17" s="5" t="str">
        <f>"0x"&amp;MID(SUBSTITUTE(SUBSTITUTE($A$14,"{",""),"}",""),(COLUMN(A14)-1)*2+1,2)</f>
        <v>0x11</v>
      </c>
      <c r="D17" s="5" t="str">
        <f t="shared" ref="D17:K17" si="0">"0x"&amp;MID(SUBSTITUTE(SUBSTITUTE($A$14,"{",""),"}",""),(COLUMN(B14)-1)*2+1,2)</f>
        <v>0x03</v>
      </c>
      <c r="E17" s="5" t="str">
        <f t="shared" si="0"/>
        <v>0x04</v>
      </c>
      <c r="F17" s="5" t="str">
        <f t="shared" si="0"/>
        <v>0x00</v>
      </c>
      <c r="G17" s="5" t="str">
        <f t="shared" si="0"/>
        <v>0x11</v>
      </c>
      <c r="H17" s="5" t="str">
        <f t="shared" si="0"/>
        <v>0x00</v>
      </c>
      <c r="I17" s="5" t="str">
        <f t="shared" si="0"/>
        <v>0x04</v>
      </c>
      <c r="J17" s="5" t="str">
        <f t="shared" si="0"/>
        <v>0xBA</v>
      </c>
      <c r="K17" s="5" t="str">
        <f t="shared" si="0"/>
        <v>0x34</v>
      </c>
    </row>
  </sheetData>
  <mergeCells count="5">
    <mergeCell ref="A2:A4"/>
    <mergeCell ref="E3:F3"/>
    <mergeCell ref="G3:H3"/>
    <mergeCell ref="F16:G16"/>
    <mergeCell ref="H16:I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926E-67FD-4A17-8CF3-DF8D0187F65D}">
  <dimension ref="A1:J10"/>
  <sheetViews>
    <sheetView workbookViewId="0">
      <selection activeCell="B5" sqref="B5"/>
    </sheetView>
  </sheetViews>
  <sheetFormatPr defaultRowHeight="14.5" x14ac:dyDescent="0.35"/>
  <sheetData>
    <row r="1" spans="1:10" ht="21" x14ac:dyDescent="0.5">
      <c r="A1" s="3" t="s">
        <v>33</v>
      </c>
    </row>
    <row r="2" spans="1:10" x14ac:dyDescent="0.35">
      <c r="B2" t="s">
        <v>7</v>
      </c>
      <c r="C2" s="5">
        <v>0</v>
      </c>
      <c r="D2" s="5">
        <v>1</v>
      </c>
      <c r="E2" s="5">
        <v>2</v>
      </c>
      <c r="F2" s="5">
        <v>3</v>
      </c>
      <c r="G2" s="5">
        <v>4</v>
      </c>
      <c r="H2" s="5">
        <v>5</v>
      </c>
      <c r="I2" s="5">
        <v>6</v>
      </c>
      <c r="J2" s="5">
        <v>7</v>
      </c>
    </row>
    <row r="3" spans="1:10" ht="43.5" x14ac:dyDescent="0.35">
      <c r="C3" s="6" t="s">
        <v>0</v>
      </c>
      <c r="D3" s="6" t="s">
        <v>1</v>
      </c>
      <c r="E3" s="17" t="s">
        <v>34</v>
      </c>
      <c r="F3" s="18"/>
      <c r="G3" s="17" t="s">
        <v>35</v>
      </c>
      <c r="H3" s="18"/>
      <c r="I3" s="6" t="s">
        <v>36</v>
      </c>
      <c r="J3" s="6" t="s">
        <v>37</v>
      </c>
    </row>
    <row r="4" spans="1:10" x14ac:dyDescent="0.35">
      <c r="C4" s="13" t="s">
        <v>38</v>
      </c>
      <c r="D4" s="13" t="s">
        <v>39</v>
      </c>
      <c r="E4" s="13" t="s">
        <v>8</v>
      </c>
      <c r="F4" s="13" t="s">
        <v>42</v>
      </c>
      <c r="G4" s="13" t="s">
        <v>15</v>
      </c>
      <c r="H4" s="13" t="s">
        <v>8</v>
      </c>
      <c r="I4" s="13" t="s">
        <v>40</v>
      </c>
      <c r="J4" s="13" t="s">
        <v>41</v>
      </c>
    </row>
    <row r="5" spans="1:10" ht="29" x14ac:dyDescent="0.35">
      <c r="A5" s="9" t="s">
        <v>30</v>
      </c>
      <c r="B5" t="str">
        <f>TRIM(MID(C4,3,2)&amp;" "&amp;MID(D4,3,2)&amp;" "&amp;MID(E4,3,2)&amp;" "&amp;"F0"&amp;" "&amp;MID(G4,3,2)&amp;" "&amp;MID(H4,3,2)&amp;" "&amp;MID(I4,3,2)&amp;" "&amp;MID(J4,3,2))</f>
        <v>FF 06 00 F0 00 00 9C 27</v>
      </c>
    </row>
    <row r="7" spans="1:10" x14ac:dyDescent="0.35">
      <c r="C7" t="s">
        <v>44</v>
      </c>
    </row>
    <row r="8" spans="1:10" x14ac:dyDescent="0.35">
      <c r="D8" t="s">
        <v>28</v>
      </c>
    </row>
    <row r="9" spans="1:10" x14ac:dyDescent="0.35">
      <c r="D9" t="s">
        <v>29</v>
      </c>
    </row>
    <row r="10" spans="1:10" x14ac:dyDescent="0.35">
      <c r="C10" t="s">
        <v>45</v>
      </c>
    </row>
  </sheetData>
  <mergeCells count="2">
    <mergeCell ref="E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Read_Data</vt:lpstr>
      <vt:lpstr>Config</vt:lpstr>
      <vt:lpstr>Scan</vt:lpstr>
      <vt:lpstr>F_Reset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Longhoney</dc:creator>
  <cp:lastModifiedBy>Long Dang Hoang</cp:lastModifiedBy>
  <dcterms:created xsi:type="dcterms:W3CDTF">2015-06-05T18:17:20Z</dcterms:created>
  <dcterms:modified xsi:type="dcterms:W3CDTF">2026-04-13T13:07:31Z</dcterms:modified>
</cp:coreProperties>
</file>