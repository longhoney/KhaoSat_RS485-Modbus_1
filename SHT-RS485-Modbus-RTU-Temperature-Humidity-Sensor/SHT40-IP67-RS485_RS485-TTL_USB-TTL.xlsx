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Git\Github\longhoney\KhaoSat_RS485-Modbus\SHT-RS485-Modbus-RTU-Temperature-Humidity-Sensor\"/>
    </mc:Choice>
  </mc:AlternateContent>
  <xr:revisionPtr revIDLastSave="0" documentId="13_ncr:1_{4737AFE5-AD38-4B76-BB58-4D81EA883B52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Read_Data" sheetId="1" r:id="rId1"/>
    <sheet name="Config" sheetId="2" r:id="rId2"/>
    <sheet name="Scan" sheetId="4" r:id="rId3"/>
    <sheet name="F_Reset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2" i="1" l="1"/>
  <c r="H52" i="1"/>
  <c r="G52" i="1"/>
  <c r="F52" i="1"/>
  <c r="E52" i="1"/>
  <c r="D52" i="1"/>
  <c r="C52" i="1"/>
  <c r="I34" i="1"/>
  <c r="H34" i="1"/>
  <c r="G34" i="1"/>
  <c r="F34" i="1"/>
  <c r="E34" i="1"/>
  <c r="D34" i="1"/>
  <c r="C34" i="1"/>
  <c r="I36" i="4"/>
  <c r="H36" i="4"/>
  <c r="G36" i="4"/>
  <c r="F36" i="4"/>
  <c r="E36" i="4"/>
  <c r="D36" i="4"/>
  <c r="C36" i="4"/>
  <c r="J35" i="2"/>
  <c r="I35" i="2"/>
  <c r="H35" i="2"/>
  <c r="G35" i="2"/>
  <c r="F35" i="2"/>
  <c r="E35" i="2"/>
  <c r="D35" i="2"/>
  <c r="C35" i="2"/>
  <c r="B26" i="2"/>
  <c r="B28" i="4"/>
  <c r="J16" i="2"/>
  <c r="I16" i="2"/>
  <c r="H16" i="2"/>
  <c r="G16" i="2"/>
  <c r="F16" i="2"/>
  <c r="E16" i="2"/>
  <c r="D16" i="2"/>
  <c r="C16" i="2"/>
  <c r="C15" i="4"/>
  <c r="D15" i="4"/>
  <c r="E15" i="4"/>
  <c r="F15" i="4"/>
  <c r="G15" i="4"/>
  <c r="H15" i="4"/>
  <c r="I15" i="4"/>
  <c r="B7" i="2"/>
  <c r="B7" i="4"/>
  <c r="B44" i="1"/>
  <c r="B26" i="1"/>
  <c r="K16" i="1"/>
  <c r="J16" i="1"/>
  <c r="I16" i="1"/>
  <c r="H16" i="1"/>
  <c r="G16" i="1"/>
  <c r="F16" i="1"/>
  <c r="E16" i="1"/>
  <c r="D16" i="1"/>
  <c r="C16" i="1"/>
  <c r="B5" i="3"/>
  <c r="B8" i="1"/>
</calcChain>
</file>

<file path=xl/sharedStrings.xml><?xml version="1.0" encoding="utf-8"?>
<sst xmlns="http://schemas.openxmlformats.org/spreadsheetml/2006/main" count="261" uniqueCount="91">
  <si>
    <t>Address code</t>
  </si>
  <si>
    <t>Function code</t>
  </si>
  <si>
    <t>0x01</t>
  </si>
  <si>
    <t>0x03</t>
  </si>
  <si>
    <t>Byte no.</t>
  </si>
  <si>
    <t>0x00</t>
  </si>
  <si>
    <t>0x02</t>
  </si>
  <si>
    <t>Tool tính CRC</t>
  </si>
  <si>
    <t>SEND FRAME</t>
  </si>
  <si>
    <t xml:space="preserve">0x00 </t>
  </si>
  <si>
    <t>Mặc định</t>
  </si>
  <si>
    <t>Địa chỉ mặc định: 0x01</t>
  </si>
  <si>
    <t>Đổi sang 4800</t>
  </si>
  <si>
    <t>Địa chỉ hiện tại</t>
  </si>
  <si>
    <t>Các địa chỉ có thể thay đổi: 1 - 254</t>
  </si>
  <si>
    <t>Ổn định: 0-1200, 1-2400, 2-4800, 3-9600</t>
  </si>
  <si>
    <t>Còn lại:  4-19200, 5-38400, 6-57600</t>
  </si>
  <si>
    <t>Copy ở đây</t>
  </si>
  <si>
    <t>Phần mềm trả về kết quả</t>
  </si>
  <si>
    <t>Ghép vào frame</t>
  </si>
  <si>
    <t>Factory Reset</t>
  </si>
  <si>
    <t>Register address</t>
  </si>
  <si>
    <t>Modify data</t>
  </si>
  <si>
    <t>Check code low</t>
  </si>
  <si>
    <t>Check code high</t>
  </si>
  <si>
    <t>0xFF</t>
  </si>
  <si>
    <t>0x06</t>
  </si>
  <si>
    <t>0x9C</t>
  </si>
  <si>
    <t>0x27</t>
  </si>
  <si>
    <t xml:space="preserve"> 0xF0</t>
  </si>
  <si>
    <t>Sử dụng phần mềm Hercules</t>
  </si>
  <si>
    <t>Thử các Baudrate sau nếu giao tiếp không thành công</t>
  </si>
  <si>
    <t>Nhớ rút nguồn cảm biến và kết nối lại</t>
  </si>
  <si>
    <t>Command</t>
  </si>
  <si>
    <t>Start Register</t>
  </si>
  <si>
    <t>Number of Register</t>
  </si>
  <si>
    <t>Low CRC</t>
  </si>
  <si>
    <t>High CRC</t>
  </si>
  <si>
    <t>CRC16 Modbus</t>
  </si>
  <si>
    <t>Baudrate mặc định: 4800</t>
  </si>
  <si>
    <t>Baudrate có thể thay đổi: 0 - 2400, 1 - 4800, 2 - 9600</t>
  </si>
  <si>
    <t>Number of Bytes return</t>
  </si>
  <si>
    <t>Humidity</t>
  </si>
  <si>
    <t>Temperature</t>
  </si>
  <si>
    <t>Đọc nhiệt độ và độ ẩm</t>
  </si>
  <si>
    <t>Đọc nhiệt độ</t>
  </si>
  <si>
    <t>Đọc độ ẩm</t>
  </si>
  <si>
    <t>0x07</t>
  </si>
  <si>
    <t>0xD0</t>
  </si>
  <si>
    <t>0x91</t>
  </si>
  <si>
    <t>0x59</t>
  </si>
  <si>
    <t>Đọc địa chỉ của cảm biến</t>
  </si>
  <si>
    <t>Value Address</t>
  </si>
  <si>
    <t>Đổi sang 0x05</t>
  </si>
  <si>
    <t>0x05</t>
  </si>
  <si>
    <t>0x49</t>
  </si>
  <si>
    <t>0xD1</t>
  </si>
  <si>
    <t>CRC = 0x99C0</t>
  </si>
  <si>
    <t>0xC0</t>
  </si>
  <si>
    <t>0x99</t>
  </si>
  <si>
    <t>Value Baudrate</t>
  </si>
  <si>
    <t>Value of Baudrate</t>
  </si>
  <si>
    <t>{01}{03}{02}{00}{01}{79}{84}</t>
  </si>
  <si>
    <t>Địa chỉ: 1- 254</t>
  </si>
  <si>
    <t>{01}{03}{02}{00}{02}{39}{85}</t>
  </si>
  <si>
    <t>CRC = 0x8FC5</t>
  </si>
  <si>
    <t>0xC5</t>
  </si>
  <si>
    <t>0x8F</t>
  </si>
  <si>
    <t>{05}{03}{04}{01}{FC}{01}{19}{BE}{65}</t>
  </si>
  <si>
    <t>CRC = 0x4ED4</t>
  </si>
  <si>
    <t>0xD4</t>
  </si>
  <si>
    <t>0x4E</t>
  </si>
  <si>
    <t>{05}{03}{02}{01}{18}{48}{1E}</t>
  </si>
  <si>
    <t>CRC = 0x8E85</t>
  </si>
  <si>
    <t>0x85</t>
  </si>
  <si>
    <t>0x8E</t>
  </si>
  <si>
    <t>{05}{03}{02}{01}{F9}{88}{56}</t>
  </si>
  <si>
    <t>CRC = 0x0349</t>
  </si>
  <si>
    <t>{05}{06}{07}{D0}{00}{01}{49}{03}</t>
  </si>
  <si>
    <t>CRC = 0x4719</t>
  </si>
  <si>
    <t>0x19</t>
  </si>
  <si>
    <t>0x47</t>
  </si>
  <si>
    <t>Thay đổi địa chỉ của cảm biến (không cần ngắt nguồn)</t>
  </si>
  <si>
    <t>Thay đổi baudrate của cảm biến (ngắn nguồn và thay đổi baudrate)</t>
  </si>
  <si>
    <t>{01}{06}{07}{D1}{00}{01}{19}{47}</t>
  </si>
  <si>
    <t>01 03 00 01 00 01 D5 CA</t>
  </si>
  <si>
    <t>01 03 00 00 00 01 84 0A</t>
  </si>
  <si>
    <t>01 03 00 00 00 02 C4 0B</t>
  </si>
  <si>
    <t>(Byte cuối là 0 và chữ B)</t>
  </si>
  <si>
    <t xml:space="preserve">Đọc giá trị baudrate của cảm biến </t>
  </si>
  <si>
    <t>(Chỉ 3 cái nên có thể dò với lệnh đọc địa chỉ là đủ)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</si>
</sst>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0" fillId="0" borderId="1" xfId="0" applyBorder="1"/>
    <xf numFmtId="0" fontId="0" fillId="2" borderId="1" xfId="0" applyFill="1" applyBorder="1" applyAlignment="1">
      <alignment vertical="center" wrapText="1"/>
    </xf>
    <xf numFmtId="0" fontId="0" fillId="0" borderId="0" xfId="0" applyAlignment="1">
      <alignment wrapText="1"/>
    </xf>
    <xf numFmtId="49" fontId="0" fillId="0" borderId="1" xfId="0" applyNumberFormat="1" applyBorder="1"/>
    <xf numFmtId="0" fontId="0" fillId="3" borderId="0" xfId="0" applyFill="1"/>
    <xf numFmtId="0" fontId="0" fillId="4" borderId="0" xfId="0" applyFill="1"/>
    <xf numFmtId="49" fontId="0" fillId="0" borderId="0" xfId="0" applyNumberFormat="1"/>
    <xf numFmtId="0" fontId="0" fillId="5" borderId="0" xfId="0" applyFill="1"/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ill="1"/>
    <xf numFmtId="0" fontId="0" fillId="6" borderId="0" xfId="0" applyFill="1"/>
    <xf numFmtId="0" fontId="0" fillId="7" borderId="0" xfId="0" applyFill="1"/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ccalc.com/?crc=123456789&amp;method=&amp;datatype=ascii&amp;outtype=h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opLeftCell="A28" workbookViewId="0">
      <selection activeCell="H44" sqref="H44"/>
    </sheetView>
  </sheetViews>
  <sheetFormatPr defaultRowHeight="14.5" x14ac:dyDescent="0.35"/>
  <cols>
    <col min="4" max="4" width="10" bestFit="1" customWidth="1"/>
    <col min="5" max="5" width="11.1796875" customWidth="1"/>
    <col min="11" max="11" width="8.7265625" customWidth="1"/>
  </cols>
  <sheetData>
    <row r="1" spans="1:16" ht="21" x14ac:dyDescent="0.5">
      <c r="A1" s="3" t="s">
        <v>30</v>
      </c>
    </row>
    <row r="2" spans="1:16" ht="21" x14ac:dyDescent="0.5">
      <c r="B2" s="3" t="s">
        <v>44</v>
      </c>
    </row>
    <row r="3" spans="1:16" x14ac:dyDescent="0.35">
      <c r="A3" s="22" t="s">
        <v>8</v>
      </c>
      <c r="B3" t="s">
        <v>4</v>
      </c>
      <c r="C3" s="5">
        <v>0</v>
      </c>
      <c r="D3" s="5">
        <v>1</v>
      </c>
      <c r="E3" s="5">
        <v>2</v>
      </c>
      <c r="F3" s="5">
        <v>3</v>
      </c>
      <c r="G3" s="5">
        <v>4</v>
      </c>
      <c r="H3" s="5">
        <v>5</v>
      </c>
      <c r="I3" s="5">
        <v>6</v>
      </c>
      <c r="J3" s="5">
        <v>7</v>
      </c>
    </row>
    <row r="4" spans="1:16" x14ac:dyDescent="0.35">
      <c r="A4" s="22"/>
      <c r="C4" s="13" t="s">
        <v>0</v>
      </c>
      <c r="D4" s="13" t="s">
        <v>33</v>
      </c>
      <c r="E4" s="15" t="s">
        <v>34</v>
      </c>
      <c r="F4" s="16"/>
      <c r="G4" s="15" t="s">
        <v>35</v>
      </c>
      <c r="H4" s="16"/>
      <c r="I4" s="19" t="s">
        <v>38</v>
      </c>
      <c r="J4" s="20"/>
    </row>
    <row r="5" spans="1:16" ht="15" customHeight="1" x14ac:dyDescent="0.35">
      <c r="A5" s="22"/>
      <c r="C5" s="14"/>
      <c r="D5" s="14"/>
      <c r="E5" s="17"/>
      <c r="F5" s="18"/>
      <c r="G5" s="17"/>
      <c r="H5" s="18"/>
      <c r="I5" s="6" t="s">
        <v>36</v>
      </c>
      <c r="J5" s="6" t="s">
        <v>37</v>
      </c>
    </row>
    <row r="6" spans="1:16" x14ac:dyDescent="0.35">
      <c r="A6" s="22"/>
      <c r="C6" s="8" t="s">
        <v>54</v>
      </c>
      <c r="D6" s="8" t="s">
        <v>3</v>
      </c>
      <c r="E6" s="8" t="s">
        <v>5</v>
      </c>
      <c r="F6" s="8" t="s">
        <v>5</v>
      </c>
      <c r="G6" s="8" t="s">
        <v>5</v>
      </c>
      <c r="H6" s="8" t="s">
        <v>6</v>
      </c>
      <c r="I6" s="8" t="s">
        <v>66</v>
      </c>
      <c r="J6" s="8" t="s">
        <v>67</v>
      </c>
      <c r="M6" t="s">
        <v>11</v>
      </c>
    </row>
    <row r="7" spans="1:16" x14ac:dyDescent="0.35">
      <c r="C7" s="2" t="s">
        <v>10</v>
      </c>
      <c r="G7" s="1" t="s">
        <v>7</v>
      </c>
      <c r="I7" s="25" t="s">
        <v>65</v>
      </c>
      <c r="J7" s="25"/>
      <c r="M7" t="s">
        <v>39</v>
      </c>
    </row>
    <row r="8" spans="1:16" ht="29" x14ac:dyDescent="0.35">
      <c r="A8" s="7" t="s">
        <v>17</v>
      </c>
      <c r="B8" t="str">
        <f>TRIM(MID(C6,3,2)&amp;" "&amp;MID(D6,3,2)&amp;" "&amp;MID(E6,3,2)&amp;" "&amp;MID(F6,3,2)&amp;" "&amp;MID(G6,3,2)&amp;" "&amp;MID(H6,3,2)&amp;" "&amp;MID(I6,3,2)&amp;" "&amp;MID(J6,3,2))</f>
        <v>05 03 00 00 00 02 C5 8F</v>
      </c>
      <c r="G8" t="s">
        <v>10</v>
      </c>
      <c r="H8" t="s">
        <v>87</v>
      </c>
      <c r="K8" t="s">
        <v>88</v>
      </c>
    </row>
    <row r="10" spans="1:16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x14ac:dyDescent="0.35">
      <c r="A11" s="9" t="s">
        <v>18</v>
      </c>
    </row>
    <row r="12" spans="1:16" x14ac:dyDescent="0.35">
      <c r="A12" t="s">
        <v>68</v>
      </c>
    </row>
    <row r="13" spans="1:16" x14ac:dyDescent="0.35">
      <c r="B13" t="s">
        <v>4</v>
      </c>
      <c r="C13" s="5">
        <v>0</v>
      </c>
      <c r="D13" s="5">
        <v>1</v>
      </c>
      <c r="E13" s="5">
        <v>2</v>
      </c>
      <c r="F13" s="5">
        <v>3</v>
      </c>
      <c r="G13" s="5">
        <v>4</v>
      </c>
      <c r="H13" s="5">
        <v>5</v>
      </c>
      <c r="I13" s="5"/>
      <c r="J13" s="5">
        <v>6</v>
      </c>
      <c r="K13" s="5">
        <v>7</v>
      </c>
    </row>
    <row r="14" spans="1:16" x14ac:dyDescent="0.35">
      <c r="A14" t="s">
        <v>19</v>
      </c>
      <c r="C14" s="21" t="s">
        <v>0</v>
      </c>
      <c r="D14" s="21" t="s">
        <v>33</v>
      </c>
      <c r="E14" s="21" t="s">
        <v>41</v>
      </c>
      <c r="F14" s="21" t="s">
        <v>42</v>
      </c>
      <c r="G14" s="21"/>
      <c r="H14" s="21" t="s">
        <v>43</v>
      </c>
      <c r="I14" s="21"/>
      <c r="J14" s="21" t="s">
        <v>38</v>
      </c>
      <c r="K14" s="21"/>
    </row>
    <row r="15" spans="1:16" x14ac:dyDescent="0.35">
      <c r="C15" s="21"/>
      <c r="D15" s="21"/>
      <c r="E15" s="21"/>
      <c r="F15" s="21"/>
      <c r="G15" s="21"/>
      <c r="H15" s="21"/>
      <c r="I15" s="21"/>
      <c r="J15" s="6" t="s">
        <v>36</v>
      </c>
      <c r="K15" s="6" t="s">
        <v>37</v>
      </c>
    </row>
    <row r="16" spans="1:16" ht="14.5" customHeight="1" x14ac:dyDescent="0.35">
      <c r="C16" s="5" t="str">
        <f>"0x"&amp;MID(SUBSTITUTE(SUBSTITUTE($A$12,"{",""),"}",""),(COLUMN(A12)-1)*2+1,2)</f>
        <v>0x05</v>
      </c>
      <c r="D16" s="5" t="str">
        <f t="shared" ref="D16:H16" si="0">"0x"&amp;MID(SUBSTITUTE(SUBSTITUTE($A$12,"{",""),"}",""),(COLUMN(B12)-1)*2+1,2)</f>
        <v>0x03</v>
      </c>
      <c r="E16" s="5" t="str">
        <f t="shared" si="0"/>
        <v>0x04</v>
      </c>
      <c r="F16" s="5" t="str">
        <f t="shared" si="0"/>
        <v>0x01</v>
      </c>
      <c r="G16" s="5" t="str">
        <f t="shared" si="0"/>
        <v>0xFC</v>
      </c>
      <c r="H16" s="5" t="str">
        <f t="shared" si="0"/>
        <v>0x01</v>
      </c>
      <c r="I16" s="5" t="str">
        <f t="shared" ref="I16" si="1">"0x"&amp;MID(SUBSTITUTE(SUBSTITUTE($A$12,"{",""),"}",""),(COLUMN(G12)-1)*2+1,2)</f>
        <v>0x19</v>
      </c>
      <c r="J16" s="5" t="str">
        <f t="shared" ref="J16" si="2">"0x"&amp;MID(SUBSTITUTE(SUBSTITUTE($A$12,"{",""),"}",""),(COLUMN(H12)-1)*2+1,2)</f>
        <v>0xBE</v>
      </c>
      <c r="K16" s="5" t="str">
        <f t="shared" ref="K16" si="3">"0x"&amp;MID(SUBSTITUTE(SUBSTITUTE($A$12,"{",""),"}",""),(COLUMN(I12)-1)*2+1,2)</f>
        <v>0x65</v>
      </c>
    </row>
    <row r="18" spans="1:16" s="10" customFormat="1" x14ac:dyDescent="0.35"/>
    <row r="19" spans="1:16" s="10" customFormat="1" x14ac:dyDescent="0.35"/>
    <row r="20" spans="1:16" ht="21" x14ac:dyDescent="0.5">
      <c r="B20" s="3" t="s">
        <v>45</v>
      </c>
    </row>
    <row r="21" spans="1:16" x14ac:dyDescent="0.35">
      <c r="A21" s="22" t="s">
        <v>8</v>
      </c>
      <c r="B21" t="s">
        <v>4</v>
      </c>
      <c r="C21" s="5">
        <v>0</v>
      </c>
      <c r="D21" s="5">
        <v>1</v>
      </c>
      <c r="E21" s="5">
        <v>2</v>
      </c>
      <c r="F21" s="5">
        <v>3</v>
      </c>
      <c r="G21" s="5">
        <v>4</v>
      </c>
      <c r="H21" s="5">
        <v>5</v>
      </c>
      <c r="I21" s="5">
        <v>6</v>
      </c>
      <c r="J21" s="5">
        <v>7</v>
      </c>
    </row>
    <row r="22" spans="1:16" x14ac:dyDescent="0.35">
      <c r="A22" s="22"/>
      <c r="C22" s="13" t="s">
        <v>0</v>
      </c>
      <c r="D22" s="13" t="s">
        <v>33</v>
      </c>
      <c r="E22" s="15" t="s">
        <v>34</v>
      </c>
      <c r="F22" s="16"/>
      <c r="G22" s="15" t="s">
        <v>35</v>
      </c>
      <c r="H22" s="16"/>
      <c r="I22" s="19" t="s">
        <v>38</v>
      </c>
      <c r="J22" s="20"/>
    </row>
    <row r="23" spans="1:16" x14ac:dyDescent="0.35">
      <c r="A23" s="22"/>
      <c r="C23" s="14"/>
      <c r="D23" s="14"/>
      <c r="E23" s="17"/>
      <c r="F23" s="18"/>
      <c r="G23" s="17"/>
      <c r="H23" s="18"/>
      <c r="I23" s="6" t="s">
        <v>36</v>
      </c>
      <c r="J23" s="6" t="s">
        <v>37</v>
      </c>
    </row>
    <row r="24" spans="1:16" x14ac:dyDescent="0.35">
      <c r="A24" s="22"/>
      <c r="C24" s="8" t="s">
        <v>54</v>
      </c>
      <c r="D24" s="8" t="s">
        <v>3</v>
      </c>
      <c r="E24" s="8" t="s">
        <v>5</v>
      </c>
      <c r="F24" s="8" t="s">
        <v>2</v>
      </c>
      <c r="G24" s="8" t="s">
        <v>5</v>
      </c>
      <c r="H24" s="8" t="s">
        <v>2</v>
      </c>
      <c r="I24" s="8" t="s">
        <v>70</v>
      </c>
      <c r="J24" s="8" t="s">
        <v>71</v>
      </c>
    </row>
    <row r="25" spans="1:16" ht="14.5" customHeight="1" x14ac:dyDescent="0.5">
      <c r="B25" s="3"/>
      <c r="I25" s="25" t="s">
        <v>69</v>
      </c>
      <c r="J25" s="25"/>
    </row>
    <row r="26" spans="1:16" ht="29" x14ac:dyDescent="0.35">
      <c r="A26" s="7" t="s">
        <v>17</v>
      </c>
      <c r="B26" t="str">
        <f>TRIM(MID(C24,3,2)&amp;" "&amp;MID(D24,3,2)&amp;" "&amp;MID(E24,3,2)&amp;" "&amp;MID(F24,3,2)&amp;" "&amp;MID(G24,3,2)&amp;" "&amp;MID(H24,3,2)&amp;" "&amp;MID(I24,3,2)&amp;" "&amp;MID(J24,3,2))</f>
        <v>05 03 00 01 00 01 D4 4E</v>
      </c>
      <c r="G26" t="s">
        <v>10</v>
      </c>
      <c r="H26" t="s">
        <v>85</v>
      </c>
    </row>
    <row r="27" spans="1:16" ht="14.5" customHeight="1" x14ac:dyDescent="0.5">
      <c r="B27" s="3"/>
    </row>
    <row r="28" spans="1:16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x14ac:dyDescent="0.35">
      <c r="A29" s="9" t="s">
        <v>18</v>
      </c>
    </row>
    <row r="30" spans="1:16" x14ac:dyDescent="0.35">
      <c r="A30" t="s">
        <v>72</v>
      </c>
    </row>
    <row r="31" spans="1:16" x14ac:dyDescent="0.35">
      <c r="B31" t="s">
        <v>4</v>
      </c>
      <c r="C31" s="5">
        <v>0</v>
      </c>
      <c r="D31" s="5">
        <v>1</v>
      </c>
      <c r="E31" s="5">
        <v>2</v>
      </c>
      <c r="F31" s="5">
        <v>3</v>
      </c>
      <c r="G31" s="5">
        <v>4</v>
      </c>
      <c r="H31" s="5">
        <v>5</v>
      </c>
      <c r="I31" s="5">
        <v>6</v>
      </c>
    </row>
    <row r="32" spans="1:16" ht="15" customHeight="1" x14ac:dyDescent="0.35">
      <c r="A32" t="s">
        <v>19</v>
      </c>
      <c r="C32" s="21" t="s">
        <v>0</v>
      </c>
      <c r="D32" s="21" t="s">
        <v>33</v>
      </c>
      <c r="E32" s="21" t="s">
        <v>41</v>
      </c>
      <c r="F32" s="23" t="s">
        <v>43</v>
      </c>
      <c r="G32" s="24"/>
      <c r="H32" s="19" t="s">
        <v>38</v>
      </c>
      <c r="I32" s="20"/>
    </row>
    <row r="33" spans="1:16" x14ac:dyDescent="0.35">
      <c r="C33" s="21"/>
      <c r="D33" s="21"/>
      <c r="E33" s="21"/>
      <c r="F33" s="23"/>
      <c r="G33" s="24"/>
      <c r="H33" s="6" t="s">
        <v>36</v>
      </c>
      <c r="I33" s="6" t="s">
        <v>37</v>
      </c>
    </row>
    <row r="34" spans="1:16" x14ac:dyDescent="0.35">
      <c r="C34" s="5" t="str">
        <f>"0x"&amp;MID(SUBSTITUTE(SUBSTITUTE($A$30,"{",""),"}",""),(COLUMN(A30)-1)*2+1,2)</f>
        <v>0x05</v>
      </c>
      <c r="D34" s="5" t="str">
        <f t="shared" ref="D34:I34" si="4">"0x"&amp;MID(SUBSTITUTE(SUBSTITUTE($A$30,"{",""),"}",""),(COLUMN(B30)-1)*2+1,2)</f>
        <v>0x03</v>
      </c>
      <c r="E34" s="5" t="str">
        <f t="shared" si="4"/>
        <v>0x02</v>
      </c>
      <c r="F34" s="5" t="str">
        <f t="shared" si="4"/>
        <v>0x01</v>
      </c>
      <c r="G34" s="5" t="str">
        <f t="shared" si="4"/>
        <v>0x18</v>
      </c>
      <c r="H34" s="5" t="str">
        <f t="shared" si="4"/>
        <v>0x48</v>
      </c>
      <c r="I34" s="5" t="str">
        <f t="shared" si="4"/>
        <v>0x1E</v>
      </c>
    </row>
    <row r="35" spans="1:16" ht="21" x14ac:dyDescent="0.5">
      <c r="B35" s="3"/>
    </row>
    <row r="36" spans="1:16" s="10" customFormat="1" x14ac:dyDescent="0.35"/>
    <row r="37" spans="1:16" s="10" customFormat="1" x14ac:dyDescent="0.35"/>
    <row r="38" spans="1:16" ht="21" x14ac:dyDescent="0.5">
      <c r="B38" s="3" t="s">
        <v>46</v>
      </c>
    </row>
    <row r="39" spans="1:16" x14ac:dyDescent="0.35">
      <c r="A39" s="22" t="s">
        <v>8</v>
      </c>
      <c r="B39" t="s">
        <v>4</v>
      </c>
      <c r="C39" s="5">
        <v>0</v>
      </c>
      <c r="D39" s="5">
        <v>1</v>
      </c>
      <c r="E39" s="5">
        <v>2</v>
      </c>
      <c r="F39" s="5">
        <v>3</v>
      </c>
      <c r="G39" s="5">
        <v>4</v>
      </c>
      <c r="H39" s="5">
        <v>5</v>
      </c>
      <c r="I39" s="5">
        <v>6</v>
      </c>
      <c r="J39" s="5">
        <v>7</v>
      </c>
    </row>
    <row r="40" spans="1:16" x14ac:dyDescent="0.35">
      <c r="A40" s="22"/>
      <c r="C40" s="13" t="s">
        <v>0</v>
      </c>
      <c r="D40" s="13" t="s">
        <v>33</v>
      </c>
      <c r="E40" s="15" t="s">
        <v>34</v>
      </c>
      <c r="F40" s="16"/>
      <c r="G40" s="15" t="s">
        <v>35</v>
      </c>
      <c r="H40" s="16"/>
      <c r="I40" s="19" t="s">
        <v>38</v>
      </c>
      <c r="J40" s="20"/>
    </row>
    <row r="41" spans="1:16" x14ac:dyDescent="0.35">
      <c r="A41" s="22"/>
      <c r="C41" s="14"/>
      <c r="D41" s="14"/>
      <c r="E41" s="17"/>
      <c r="F41" s="18"/>
      <c r="G41" s="17"/>
      <c r="H41" s="18"/>
      <c r="I41" s="6" t="s">
        <v>36</v>
      </c>
      <c r="J41" s="6" t="s">
        <v>37</v>
      </c>
    </row>
    <row r="42" spans="1:16" x14ac:dyDescent="0.35">
      <c r="A42" s="22"/>
      <c r="C42" s="8" t="s">
        <v>54</v>
      </c>
      <c r="D42" s="8" t="s">
        <v>3</v>
      </c>
      <c r="E42" s="8" t="s">
        <v>5</v>
      </c>
      <c r="F42" s="8" t="s">
        <v>5</v>
      </c>
      <c r="G42" s="8" t="s">
        <v>5</v>
      </c>
      <c r="H42" s="8" t="s">
        <v>2</v>
      </c>
      <c r="I42" s="8" t="s">
        <v>74</v>
      </c>
      <c r="J42" s="8" t="s">
        <v>75</v>
      </c>
    </row>
    <row r="43" spans="1:16" ht="21" x14ac:dyDescent="0.5">
      <c r="B43" s="3"/>
      <c r="I43" s="25" t="s">
        <v>73</v>
      </c>
      <c r="J43" s="25"/>
    </row>
    <row r="44" spans="1:16" ht="29" x14ac:dyDescent="0.35">
      <c r="A44" s="7" t="s">
        <v>17</v>
      </c>
      <c r="B44" t="str">
        <f>TRIM(MID(C42,3,2)&amp;" "&amp;MID(D42,3,2)&amp;" "&amp;MID(E42,3,2)&amp;" "&amp;MID(F42,3,2)&amp;" "&amp;MID(G42,3,2)&amp;" "&amp;MID(H42,3,2)&amp;" "&amp;MID(I42,3,2)&amp;" "&amp;MID(J42,3,2))</f>
        <v>05 03 00 00 00 01 85 8E</v>
      </c>
      <c r="G44" t="s">
        <v>10</v>
      </c>
      <c r="H44" t="s">
        <v>86</v>
      </c>
    </row>
    <row r="45" spans="1:16" ht="21" x14ac:dyDescent="0.5">
      <c r="B45" s="3"/>
    </row>
    <row r="46" spans="1:16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 x14ac:dyDescent="0.35">
      <c r="A47" s="9" t="s">
        <v>18</v>
      </c>
    </row>
    <row r="48" spans="1:16" x14ac:dyDescent="0.35">
      <c r="A48" t="s">
        <v>76</v>
      </c>
    </row>
    <row r="49" spans="1:9" x14ac:dyDescent="0.35">
      <c r="B49" t="s">
        <v>4</v>
      </c>
      <c r="C49" s="5">
        <v>0</v>
      </c>
      <c r="D49" s="5">
        <v>1</v>
      </c>
      <c r="E49" s="5">
        <v>2</v>
      </c>
      <c r="F49" s="5">
        <v>3</v>
      </c>
      <c r="G49" s="5">
        <v>4</v>
      </c>
      <c r="H49" s="5">
        <v>5</v>
      </c>
      <c r="I49" s="5">
        <v>6</v>
      </c>
    </row>
    <row r="50" spans="1:9" x14ac:dyDescent="0.35">
      <c r="A50" t="s">
        <v>19</v>
      </c>
      <c r="C50" s="21" t="s">
        <v>0</v>
      </c>
      <c r="D50" s="21" t="s">
        <v>33</v>
      </c>
      <c r="E50" s="21" t="s">
        <v>41</v>
      </c>
      <c r="F50" s="21" t="s">
        <v>42</v>
      </c>
      <c r="G50" s="21"/>
      <c r="H50" s="19" t="s">
        <v>38</v>
      </c>
      <c r="I50" s="20"/>
    </row>
    <row r="51" spans="1:9" x14ac:dyDescent="0.35">
      <c r="C51" s="21"/>
      <c r="D51" s="21"/>
      <c r="E51" s="21"/>
      <c r="F51" s="21"/>
      <c r="G51" s="21"/>
      <c r="H51" s="6" t="s">
        <v>36</v>
      </c>
      <c r="I51" s="6" t="s">
        <v>37</v>
      </c>
    </row>
    <row r="52" spans="1:9" x14ac:dyDescent="0.35">
      <c r="C52" s="5" t="str">
        <f>"0x"&amp;MID(SUBSTITUTE(SUBSTITUTE($A$48,"{",""),"}",""),(COLUMN(A48)-1)*2+1,2)</f>
        <v>0x05</v>
      </c>
      <c r="D52" s="5" t="str">
        <f t="shared" ref="D52:I52" si="5">"0x"&amp;MID(SUBSTITUTE(SUBSTITUTE($A$48,"{",""),"}",""),(COLUMN(B48)-1)*2+1,2)</f>
        <v>0x03</v>
      </c>
      <c r="E52" s="5" t="str">
        <f t="shared" si="5"/>
        <v>0x02</v>
      </c>
      <c r="F52" s="5" t="str">
        <f t="shared" si="5"/>
        <v>0x01</v>
      </c>
      <c r="G52" s="5" t="str">
        <f t="shared" si="5"/>
        <v>0xF9</v>
      </c>
      <c r="H52" s="5" t="str">
        <f t="shared" si="5"/>
        <v>0x88</v>
      </c>
      <c r="I52" s="5" t="str">
        <f t="shared" si="5"/>
        <v>0x56</v>
      </c>
    </row>
  </sheetData>
  <mergeCells count="37">
    <mergeCell ref="C14:C15"/>
    <mergeCell ref="D14:D15"/>
    <mergeCell ref="I25:J25"/>
    <mergeCell ref="I43:J43"/>
    <mergeCell ref="A3:A6"/>
    <mergeCell ref="I4:J4"/>
    <mergeCell ref="C4:C5"/>
    <mergeCell ref="D4:D5"/>
    <mergeCell ref="E4:F5"/>
    <mergeCell ref="G4:H5"/>
    <mergeCell ref="J14:K14"/>
    <mergeCell ref="H14:I15"/>
    <mergeCell ref="F14:G15"/>
    <mergeCell ref="E14:E15"/>
    <mergeCell ref="I7:J7"/>
    <mergeCell ref="A39:A42"/>
    <mergeCell ref="I22:J22"/>
    <mergeCell ref="C32:C33"/>
    <mergeCell ref="D32:D33"/>
    <mergeCell ref="E32:E33"/>
    <mergeCell ref="F32:G33"/>
    <mergeCell ref="H32:I32"/>
    <mergeCell ref="A21:A24"/>
    <mergeCell ref="C22:C23"/>
    <mergeCell ref="D22:D23"/>
    <mergeCell ref="E22:F23"/>
    <mergeCell ref="G22:H23"/>
    <mergeCell ref="C50:C51"/>
    <mergeCell ref="D50:D51"/>
    <mergeCell ref="E50:E51"/>
    <mergeCell ref="F50:G51"/>
    <mergeCell ref="H50:I50"/>
    <mergeCell ref="C40:C41"/>
    <mergeCell ref="D40:D41"/>
    <mergeCell ref="E40:F41"/>
    <mergeCell ref="G40:H41"/>
    <mergeCell ref="I40:J40"/>
  </mergeCells>
  <phoneticPr fontId="4" type="noConversion"/>
  <hyperlinks>
    <hyperlink ref="G7" r:id="rId1" xr:uid="{F9610125-9B04-4658-8300-728703DC5B34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3827-F0D9-469B-8F4C-757A2403C253}">
  <dimension ref="A1:P35"/>
  <sheetViews>
    <sheetView topLeftCell="A22" workbookViewId="0">
      <selection activeCell="A31" sqref="A31"/>
    </sheetView>
  </sheetViews>
  <sheetFormatPr defaultRowHeight="14.5" x14ac:dyDescent="0.35"/>
  <cols>
    <col min="4" max="4" width="9.453125" bestFit="1" customWidth="1"/>
    <col min="13" max="14" width="9.453125" customWidth="1"/>
  </cols>
  <sheetData>
    <row r="1" spans="1:16" ht="21" x14ac:dyDescent="0.5">
      <c r="A1" s="3" t="s">
        <v>82</v>
      </c>
    </row>
    <row r="2" spans="1:16" x14ac:dyDescent="0.35">
      <c r="A2" s="22" t="s">
        <v>8</v>
      </c>
      <c r="B2" t="s">
        <v>4</v>
      </c>
      <c r="C2" s="5">
        <v>0</v>
      </c>
      <c r="D2" s="5">
        <v>1</v>
      </c>
      <c r="E2" s="5">
        <v>2</v>
      </c>
      <c r="F2" s="5">
        <v>3</v>
      </c>
      <c r="G2" s="5">
        <v>4</v>
      </c>
      <c r="H2" s="5">
        <v>5</v>
      </c>
      <c r="I2" s="5">
        <v>6</v>
      </c>
      <c r="J2" s="5">
        <v>7</v>
      </c>
    </row>
    <row r="3" spans="1:16" ht="14.5" customHeight="1" x14ac:dyDescent="0.35">
      <c r="A3" s="22"/>
      <c r="C3" s="13" t="s">
        <v>0</v>
      </c>
      <c r="D3" s="13" t="s">
        <v>33</v>
      </c>
      <c r="E3" s="15" t="s">
        <v>34</v>
      </c>
      <c r="F3" s="16"/>
      <c r="G3" s="15" t="s">
        <v>52</v>
      </c>
      <c r="H3" s="16"/>
      <c r="I3" s="19" t="s">
        <v>38</v>
      </c>
      <c r="J3" s="20"/>
    </row>
    <row r="4" spans="1:16" ht="14.5" customHeight="1" x14ac:dyDescent="0.35">
      <c r="A4" s="22"/>
      <c r="C4" s="14"/>
      <c r="D4" s="14"/>
      <c r="E4" s="17"/>
      <c r="F4" s="18"/>
      <c r="G4" s="17"/>
      <c r="H4" s="18"/>
      <c r="I4" s="6" t="s">
        <v>36</v>
      </c>
      <c r="J4" s="6" t="s">
        <v>37</v>
      </c>
    </row>
    <row r="5" spans="1:16" x14ac:dyDescent="0.35">
      <c r="A5" s="22"/>
      <c r="C5" s="8" t="s">
        <v>54</v>
      </c>
      <c r="D5" s="8" t="s">
        <v>26</v>
      </c>
      <c r="E5" s="8" t="s">
        <v>47</v>
      </c>
      <c r="F5" s="8" t="s">
        <v>48</v>
      </c>
      <c r="G5" s="8" t="s">
        <v>5</v>
      </c>
      <c r="H5" s="8" t="s">
        <v>2</v>
      </c>
      <c r="I5" s="8" t="s">
        <v>55</v>
      </c>
      <c r="J5" s="8" t="s">
        <v>3</v>
      </c>
    </row>
    <row r="6" spans="1:16" ht="29" x14ac:dyDescent="0.35">
      <c r="C6" s="4" t="s">
        <v>13</v>
      </c>
      <c r="G6" s="26" t="s">
        <v>53</v>
      </c>
      <c r="H6" s="26"/>
      <c r="I6" s="26" t="s">
        <v>77</v>
      </c>
      <c r="J6" s="26"/>
    </row>
    <row r="7" spans="1:16" ht="29" x14ac:dyDescent="0.35">
      <c r="A7" s="7" t="s">
        <v>17</v>
      </c>
      <c r="B7" t="str">
        <f>TRIM(MID(C5,3,2)&amp;" "&amp;MID(D5,3,2)&amp;" "&amp;MID(E5,3,2)&amp;" "&amp;MID(F5,3,2)&amp;" "&amp;MID(G5,3,2)&amp;" "&amp;MID(H5,3,2)&amp;" "&amp;MID(I5,3,2)&amp;" "&amp;MID(J5,3,2)&amp;" "&amp;MID(K5,3,2)&amp;" "&amp;MID(L5,3,2)&amp;" "&amp;MID(M5,3,2)&amp;" "&amp;MID(N5,3,2)&amp;" "&amp;MID(O5,3,2)&amp;" "&amp;MID(P5,3,2))</f>
        <v>05 06 07 D0 00 01 49 03</v>
      </c>
    </row>
    <row r="8" spans="1:16" x14ac:dyDescent="0.35">
      <c r="C8" t="s">
        <v>14</v>
      </c>
    </row>
    <row r="9" spans="1:16" x14ac:dyDescent="0.35">
      <c r="A9" s="7"/>
    </row>
    <row r="10" spans="1:16" s="27" customFormat="1" x14ac:dyDescent="0.3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1:16" x14ac:dyDescent="0.35">
      <c r="A11" s="9" t="s">
        <v>18</v>
      </c>
    </row>
    <row r="12" spans="1:16" x14ac:dyDescent="0.35">
      <c r="A12" t="s">
        <v>78</v>
      </c>
    </row>
    <row r="13" spans="1:16" x14ac:dyDescent="0.35">
      <c r="B13" t="s">
        <v>4</v>
      </c>
      <c r="C13" s="5">
        <v>0</v>
      </c>
      <c r="D13" s="5">
        <v>1</v>
      </c>
      <c r="E13" s="5">
        <v>2</v>
      </c>
      <c r="F13" s="5">
        <v>3</v>
      </c>
      <c r="G13" s="5">
        <v>4</v>
      </c>
      <c r="H13" s="5">
        <v>5</v>
      </c>
      <c r="I13" s="5">
        <v>6</v>
      </c>
      <c r="J13" s="5">
        <v>7</v>
      </c>
    </row>
    <row r="14" spans="1:16" x14ac:dyDescent="0.35">
      <c r="A14" t="s">
        <v>19</v>
      </c>
      <c r="C14" s="13" t="s">
        <v>0</v>
      </c>
      <c r="D14" s="13" t="s">
        <v>33</v>
      </c>
      <c r="E14" s="15" t="s">
        <v>34</v>
      </c>
      <c r="F14" s="16"/>
      <c r="G14" s="15" t="s">
        <v>52</v>
      </c>
      <c r="H14" s="16"/>
      <c r="I14" s="19" t="s">
        <v>38</v>
      </c>
      <c r="J14" s="20"/>
    </row>
    <row r="15" spans="1:16" x14ac:dyDescent="0.35">
      <c r="C15" s="14"/>
      <c r="D15" s="14"/>
      <c r="E15" s="17"/>
      <c r="F15" s="18"/>
      <c r="G15" s="17"/>
      <c r="H15" s="18"/>
      <c r="I15" s="6" t="s">
        <v>36</v>
      </c>
      <c r="J15" s="6" t="s">
        <v>37</v>
      </c>
    </row>
    <row r="16" spans="1:16" x14ac:dyDescent="0.35">
      <c r="C16" s="5" t="str">
        <f>"0x"&amp;MID(SUBSTITUTE(SUBSTITUTE($A$12,"{",""),"}",""),(COLUMN(A12)-1)*2+1,2)</f>
        <v>0x05</v>
      </c>
      <c r="D16" s="5" t="str">
        <f t="shared" ref="D16:J16" si="0">"0x"&amp;MID(SUBSTITUTE(SUBSTITUTE($A$12,"{",""),"}",""),(COLUMN(B12)-1)*2+1,2)</f>
        <v>0x06</v>
      </c>
      <c r="E16" s="5" t="str">
        <f t="shared" si="0"/>
        <v>0x07</v>
      </c>
      <c r="F16" s="5" t="str">
        <f t="shared" si="0"/>
        <v>0xD0</v>
      </c>
      <c r="G16" s="5" t="str">
        <f t="shared" si="0"/>
        <v>0x00</v>
      </c>
      <c r="H16" s="5" t="str">
        <f t="shared" si="0"/>
        <v>0x01</v>
      </c>
      <c r="I16" s="5" t="str">
        <f t="shared" si="0"/>
        <v>0x49</v>
      </c>
      <c r="J16" s="5" t="str">
        <f t="shared" si="0"/>
        <v>0x03</v>
      </c>
    </row>
    <row r="18" spans="1:16" s="10" customFormat="1" x14ac:dyDescent="0.35"/>
    <row r="19" spans="1:16" s="10" customFormat="1" x14ac:dyDescent="0.35"/>
    <row r="20" spans="1:16" ht="21" x14ac:dyDescent="0.5">
      <c r="A20" s="3" t="s">
        <v>83</v>
      </c>
    </row>
    <row r="21" spans="1:16" x14ac:dyDescent="0.35">
      <c r="A21" s="22" t="s">
        <v>8</v>
      </c>
      <c r="B21" t="s">
        <v>4</v>
      </c>
      <c r="C21" s="5">
        <v>0</v>
      </c>
      <c r="D21" s="5">
        <v>1</v>
      </c>
      <c r="E21" s="5">
        <v>2</v>
      </c>
      <c r="F21" s="5">
        <v>3</v>
      </c>
      <c r="G21" s="5">
        <v>4</v>
      </c>
      <c r="H21" s="5">
        <v>5</v>
      </c>
      <c r="I21" s="5">
        <v>6</v>
      </c>
      <c r="J21" s="5">
        <v>7</v>
      </c>
    </row>
    <row r="22" spans="1:16" x14ac:dyDescent="0.35">
      <c r="A22" s="22"/>
      <c r="C22" s="13" t="s">
        <v>0</v>
      </c>
      <c r="D22" s="13" t="s">
        <v>33</v>
      </c>
      <c r="E22" s="15" t="s">
        <v>34</v>
      </c>
      <c r="F22" s="16"/>
      <c r="G22" s="15" t="s">
        <v>60</v>
      </c>
      <c r="H22" s="16"/>
      <c r="I22" s="19" t="s">
        <v>38</v>
      </c>
      <c r="J22" s="20"/>
    </row>
    <row r="23" spans="1:16" x14ac:dyDescent="0.35">
      <c r="A23" s="22"/>
      <c r="C23" s="14"/>
      <c r="D23" s="14"/>
      <c r="E23" s="17"/>
      <c r="F23" s="18"/>
      <c r="G23" s="17"/>
      <c r="H23" s="18"/>
      <c r="I23" s="6" t="s">
        <v>36</v>
      </c>
      <c r="J23" s="6" t="s">
        <v>37</v>
      </c>
    </row>
    <row r="24" spans="1:16" x14ac:dyDescent="0.35">
      <c r="A24" s="22"/>
      <c r="C24" s="8" t="s">
        <v>2</v>
      </c>
      <c r="D24" s="8" t="s">
        <v>26</v>
      </c>
      <c r="E24" s="8" t="s">
        <v>47</v>
      </c>
      <c r="F24" s="8" t="s">
        <v>56</v>
      </c>
      <c r="G24" s="8" t="s">
        <v>5</v>
      </c>
      <c r="H24" s="8" t="s">
        <v>2</v>
      </c>
      <c r="I24" s="8" t="s">
        <v>80</v>
      </c>
      <c r="J24" s="8" t="s">
        <v>81</v>
      </c>
    </row>
    <row r="25" spans="1:16" ht="29" x14ac:dyDescent="0.35">
      <c r="C25" s="4" t="s">
        <v>13</v>
      </c>
      <c r="G25" s="26" t="s">
        <v>12</v>
      </c>
      <c r="H25" s="26"/>
      <c r="I25" s="26" t="s">
        <v>79</v>
      </c>
      <c r="J25" s="26"/>
    </row>
    <row r="26" spans="1:16" ht="29" x14ac:dyDescent="0.35">
      <c r="A26" s="7" t="s">
        <v>17</v>
      </c>
      <c r="B26" t="str">
        <f>TRIM(MID(C24,3,2)&amp;" "&amp;MID(D24,3,2)&amp;" "&amp;MID(E24,3,2)&amp;" "&amp;MID(F24,3,2)&amp;" "&amp;MID(G24,3,2)&amp;" "&amp;MID(H24,3,2)&amp;" "&amp;MID(I24,3,2)&amp;" "&amp;MID(J24,3,2)&amp;" "&amp;MID(K24,3,2)&amp;" "&amp;MID(L24,3,2)&amp;" "&amp;MID(M24,3,2)&amp;" "&amp;MID(N24,3,2)&amp;" "&amp;MID(O24,3,2)&amp;" "&amp;MID(P24,3,2))</f>
        <v>01 06 07 D1 00 01 19 47</v>
      </c>
    </row>
    <row r="27" spans="1:16" x14ac:dyDescent="0.35">
      <c r="C27" t="s">
        <v>40</v>
      </c>
    </row>
    <row r="28" spans="1:16" x14ac:dyDescent="0.35">
      <c r="A28" s="7"/>
    </row>
    <row r="29" spans="1:16" x14ac:dyDescent="0.3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spans="1:16" x14ac:dyDescent="0.35">
      <c r="A30" s="9" t="s">
        <v>18</v>
      </c>
    </row>
    <row r="31" spans="1:16" x14ac:dyDescent="0.35">
      <c r="A31" t="s">
        <v>84</v>
      </c>
    </row>
    <row r="32" spans="1:16" x14ac:dyDescent="0.35">
      <c r="B32" t="s">
        <v>4</v>
      </c>
      <c r="C32" s="5">
        <v>0</v>
      </c>
      <c r="D32" s="5">
        <v>1</v>
      </c>
      <c r="E32" s="5">
        <v>2</v>
      </c>
      <c r="F32" s="5">
        <v>3</v>
      </c>
      <c r="G32" s="5">
        <v>4</v>
      </c>
      <c r="H32" s="5">
        <v>5</v>
      </c>
      <c r="I32" s="5">
        <v>6</v>
      </c>
      <c r="J32" s="5">
        <v>7</v>
      </c>
    </row>
    <row r="33" spans="1:10" x14ac:dyDescent="0.35">
      <c r="A33" t="s">
        <v>19</v>
      </c>
      <c r="C33" s="13" t="s">
        <v>0</v>
      </c>
      <c r="D33" s="13" t="s">
        <v>33</v>
      </c>
      <c r="E33" s="15" t="s">
        <v>34</v>
      </c>
      <c r="F33" s="16"/>
      <c r="G33" s="15" t="s">
        <v>61</v>
      </c>
      <c r="H33" s="16"/>
      <c r="I33" s="19" t="s">
        <v>38</v>
      </c>
      <c r="J33" s="20"/>
    </row>
    <row r="34" spans="1:10" x14ac:dyDescent="0.35">
      <c r="C34" s="14"/>
      <c r="D34" s="14"/>
      <c r="E34" s="17"/>
      <c r="F34" s="18"/>
      <c r="G34" s="17"/>
      <c r="H34" s="18"/>
      <c r="I34" s="6" t="s">
        <v>36</v>
      </c>
      <c r="J34" s="6" t="s">
        <v>37</v>
      </c>
    </row>
    <row r="35" spans="1:10" x14ac:dyDescent="0.35">
      <c r="C35" s="5" t="str">
        <f>"0x"&amp;MID(SUBSTITUTE(SUBSTITUTE($A$31,"{",""),"}",""),(COLUMN(A31)-1)*2+1,2)</f>
        <v>0x01</v>
      </c>
      <c r="D35" s="5" t="str">
        <f t="shared" ref="D35:J35" si="1">"0x"&amp;MID(SUBSTITUTE(SUBSTITUTE($A$31,"{",""),"}",""),(COLUMN(B31)-1)*2+1,2)</f>
        <v>0x06</v>
      </c>
      <c r="E35" s="5" t="str">
        <f t="shared" si="1"/>
        <v>0x07</v>
      </c>
      <c r="F35" s="5" t="str">
        <f t="shared" si="1"/>
        <v>0xD1</v>
      </c>
      <c r="G35" s="5" t="str">
        <f t="shared" si="1"/>
        <v>0x00</v>
      </c>
      <c r="H35" s="5" t="str">
        <f t="shared" si="1"/>
        <v>0x01</v>
      </c>
      <c r="I35" s="5" t="str">
        <f t="shared" si="1"/>
        <v>0x19</v>
      </c>
      <c r="J35" s="5" t="str">
        <f t="shared" si="1"/>
        <v>0x47</v>
      </c>
    </row>
  </sheetData>
  <mergeCells count="26">
    <mergeCell ref="I22:J22"/>
    <mergeCell ref="G25:H25"/>
    <mergeCell ref="I25:J25"/>
    <mergeCell ref="C33:C34"/>
    <mergeCell ref="D33:D34"/>
    <mergeCell ref="E33:F34"/>
    <mergeCell ref="G33:H34"/>
    <mergeCell ref="I33:J33"/>
    <mergeCell ref="C14:C15"/>
    <mergeCell ref="D14:D15"/>
    <mergeCell ref="E14:F15"/>
    <mergeCell ref="G14:H15"/>
    <mergeCell ref="A21:A24"/>
    <mergeCell ref="C22:C23"/>
    <mergeCell ref="D22:D23"/>
    <mergeCell ref="E22:F23"/>
    <mergeCell ref="G22:H23"/>
    <mergeCell ref="I6:J6"/>
    <mergeCell ref="A2:A5"/>
    <mergeCell ref="I3:J3"/>
    <mergeCell ref="G6:H6"/>
    <mergeCell ref="C3:C4"/>
    <mergeCell ref="D3:D4"/>
    <mergeCell ref="E3:F4"/>
    <mergeCell ref="G3:H4"/>
    <mergeCell ref="I14:J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5AE2-D427-4080-A06B-A4784F0A1AED}">
  <dimension ref="A1:P38"/>
  <sheetViews>
    <sheetView tabSelected="1" topLeftCell="A13" workbookViewId="0">
      <selection activeCell="K27" sqref="K27"/>
    </sheetView>
  </sheetViews>
  <sheetFormatPr defaultRowHeight="14.5" x14ac:dyDescent="0.35"/>
  <cols>
    <col min="4" max="4" width="10" bestFit="1" customWidth="1"/>
    <col min="5" max="5" width="11.1796875" customWidth="1"/>
  </cols>
  <sheetData>
    <row r="1" spans="1:16" ht="21" x14ac:dyDescent="0.5">
      <c r="A1" s="3" t="s">
        <v>51</v>
      </c>
    </row>
    <row r="2" spans="1:16" x14ac:dyDescent="0.35">
      <c r="A2" s="22" t="s">
        <v>8</v>
      </c>
      <c r="B2" t="s">
        <v>4</v>
      </c>
      <c r="C2" s="5">
        <v>0</v>
      </c>
      <c r="D2" s="5">
        <v>1</v>
      </c>
      <c r="E2" s="5">
        <v>2</v>
      </c>
      <c r="F2" s="5">
        <v>3</v>
      </c>
      <c r="G2" s="5">
        <v>4</v>
      </c>
      <c r="H2" s="5">
        <v>5</v>
      </c>
      <c r="I2" s="5">
        <v>6</v>
      </c>
      <c r="J2" s="5">
        <v>7</v>
      </c>
    </row>
    <row r="3" spans="1:16" x14ac:dyDescent="0.35">
      <c r="A3" s="22"/>
      <c r="C3" s="13" t="s">
        <v>0</v>
      </c>
      <c r="D3" s="13" t="s">
        <v>33</v>
      </c>
      <c r="E3" s="15" t="s">
        <v>34</v>
      </c>
      <c r="F3" s="16"/>
      <c r="G3" s="15" t="s">
        <v>35</v>
      </c>
      <c r="H3" s="16"/>
      <c r="I3" s="19" t="s">
        <v>38</v>
      </c>
      <c r="J3" s="20"/>
    </row>
    <row r="4" spans="1:16" x14ac:dyDescent="0.35">
      <c r="A4" s="22"/>
      <c r="C4" s="14"/>
      <c r="D4" s="14"/>
      <c r="E4" s="17"/>
      <c r="F4" s="18"/>
      <c r="G4" s="17"/>
      <c r="H4" s="18"/>
      <c r="I4" s="6" t="s">
        <v>36</v>
      </c>
      <c r="J4" s="6" t="s">
        <v>37</v>
      </c>
    </row>
    <row r="5" spans="1:16" x14ac:dyDescent="0.35">
      <c r="A5" s="22"/>
      <c r="C5" s="8" t="s">
        <v>25</v>
      </c>
      <c r="D5" s="8" t="s">
        <v>3</v>
      </c>
      <c r="E5" s="8" t="s">
        <v>47</v>
      </c>
      <c r="F5" s="8" t="s">
        <v>48</v>
      </c>
      <c r="G5" s="8" t="s">
        <v>5</v>
      </c>
      <c r="H5" s="8" t="s">
        <v>2</v>
      </c>
      <c r="I5" s="8" t="s">
        <v>49</v>
      </c>
      <c r="J5" s="8" t="s">
        <v>50</v>
      </c>
    </row>
    <row r="6" spans="1:16" ht="29" x14ac:dyDescent="0.35">
      <c r="C6" s="4" t="s">
        <v>13</v>
      </c>
      <c r="G6" s="26"/>
      <c r="H6" s="26"/>
      <c r="I6" s="26"/>
      <c r="J6" s="26"/>
    </row>
    <row r="7" spans="1:16" ht="29" x14ac:dyDescent="0.35">
      <c r="A7" s="7" t="s">
        <v>17</v>
      </c>
      <c r="B7" t="str">
        <f>TRIM(MID(C5,3,2)&amp;" "&amp;MID(D5,3,2)&amp;" "&amp;MID(E5,3,2)&amp;" "&amp;MID(F5,3,2)&amp;" "&amp;MID(G5,3,2)&amp;" "&amp;MID(H5,3,2)&amp;" "&amp;MID(I5,3,2)&amp;" "&amp;MID(J5,3,2)&amp;" "&amp;MID(K5,3,2)&amp;" "&amp;MID(L5,3,2)&amp;" "&amp;MID(M5,3,2)&amp;" "&amp;MID(N5,3,2)&amp;" "&amp;MID(O5,3,2)&amp;" "&amp;MID(P5,3,2))</f>
        <v>FF 03 07 D0 00 01 91 59</v>
      </c>
    </row>
    <row r="9" spans="1:16" s="27" customFormat="1" x14ac:dyDescent="0.3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 x14ac:dyDescent="0.35">
      <c r="A10" s="9" t="s">
        <v>18</v>
      </c>
    </row>
    <row r="11" spans="1:16" x14ac:dyDescent="0.35">
      <c r="A11" t="s">
        <v>62</v>
      </c>
    </row>
    <row r="12" spans="1:16" x14ac:dyDescent="0.35">
      <c r="B12" t="s">
        <v>4</v>
      </c>
      <c r="C12" s="5">
        <v>0</v>
      </c>
      <c r="D12" s="5">
        <v>1</v>
      </c>
      <c r="E12" s="5">
        <v>2</v>
      </c>
      <c r="F12" s="5">
        <v>3</v>
      </c>
      <c r="G12" s="5">
        <v>4</v>
      </c>
      <c r="H12" s="5">
        <v>5</v>
      </c>
      <c r="I12" s="5">
        <v>6</v>
      </c>
    </row>
    <row r="13" spans="1:16" ht="14.5" customHeight="1" x14ac:dyDescent="0.35">
      <c r="A13" t="s">
        <v>19</v>
      </c>
      <c r="C13" s="13" t="s">
        <v>0</v>
      </c>
      <c r="D13" s="13" t="s">
        <v>33</v>
      </c>
      <c r="E13" s="13" t="s">
        <v>41</v>
      </c>
      <c r="F13" s="15" t="s">
        <v>52</v>
      </c>
      <c r="G13" s="16"/>
      <c r="H13" s="19" t="s">
        <v>38</v>
      </c>
      <c r="I13" s="20"/>
    </row>
    <row r="14" spans="1:16" x14ac:dyDescent="0.35">
      <c r="C14" s="14"/>
      <c r="D14" s="14"/>
      <c r="E14" s="14"/>
      <c r="F14" s="17"/>
      <c r="G14" s="18"/>
      <c r="H14" s="6" t="s">
        <v>36</v>
      </c>
      <c r="I14" s="6" t="s">
        <v>37</v>
      </c>
    </row>
    <row r="15" spans="1:16" x14ac:dyDescent="0.35">
      <c r="C15" s="5" t="str">
        <f>"0x"&amp;MID(SUBSTITUTE(SUBSTITUTE($A$11,"{",""),"}",""),(COLUMN(A11)-1)*2+1,2)</f>
        <v>0x01</v>
      </c>
      <c r="D15" s="5" t="str">
        <f t="shared" ref="D15:I15" si="0">"0x"&amp;MID(SUBSTITUTE(SUBSTITUTE($A$11,"{",""),"}",""),(COLUMN(B11)-1)*2+1,2)</f>
        <v>0x03</v>
      </c>
      <c r="E15" s="5" t="str">
        <f t="shared" si="0"/>
        <v>0x02</v>
      </c>
      <c r="F15" s="5" t="str">
        <f t="shared" si="0"/>
        <v>0x00</v>
      </c>
      <c r="G15" s="5" t="str">
        <f t="shared" si="0"/>
        <v>0x01</v>
      </c>
      <c r="H15" s="5" t="str">
        <f t="shared" si="0"/>
        <v>0x79</v>
      </c>
      <c r="I15" s="5" t="str">
        <f t="shared" si="0"/>
        <v>0x84</v>
      </c>
    </row>
    <row r="16" spans="1:16" x14ac:dyDescent="0.35">
      <c r="C16" s="30"/>
      <c r="D16" s="30"/>
      <c r="E16" s="30"/>
      <c r="F16" s="30"/>
      <c r="G16" s="30"/>
      <c r="H16" s="30"/>
      <c r="I16" s="30"/>
    </row>
    <row r="17" spans="1:16" x14ac:dyDescent="0.35">
      <c r="C17" t="s">
        <v>63</v>
      </c>
    </row>
    <row r="19" spans="1:16" s="10" customFormat="1" x14ac:dyDescent="0.35"/>
    <row r="20" spans="1:16" s="10" customFormat="1" x14ac:dyDescent="0.35"/>
    <row r="22" spans="1:16" ht="21" x14ac:dyDescent="0.5">
      <c r="A22" s="3" t="s">
        <v>89</v>
      </c>
    </row>
    <row r="23" spans="1:16" x14ac:dyDescent="0.35">
      <c r="A23" s="22" t="s">
        <v>8</v>
      </c>
      <c r="B23" t="s">
        <v>4</v>
      </c>
      <c r="C23" s="5">
        <v>0</v>
      </c>
      <c r="D23" s="5">
        <v>1</v>
      </c>
      <c r="E23" s="5">
        <v>2</v>
      </c>
      <c r="F23" s="5">
        <v>3</v>
      </c>
      <c r="G23" s="5">
        <v>4</v>
      </c>
      <c r="H23" s="5">
        <v>5</v>
      </c>
      <c r="I23" s="5">
        <v>6</v>
      </c>
      <c r="J23" s="5">
        <v>7</v>
      </c>
      <c r="L23" t="s">
        <v>90</v>
      </c>
    </row>
    <row r="24" spans="1:16" x14ac:dyDescent="0.35">
      <c r="A24" s="22"/>
      <c r="C24" s="13" t="s">
        <v>0</v>
      </c>
      <c r="D24" s="13" t="s">
        <v>33</v>
      </c>
      <c r="E24" s="15" t="s">
        <v>34</v>
      </c>
      <c r="F24" s="16"/>
      <c r="G24" s="15" t="s">
        <v>35</v>
      </c>
      <c r="H24" s="16"/>
      <c r="I24" s="19" t="s">
        <v>38</v>
      </c>
      <c r="J24" s="20"/>
    </row>
    <row r="25" spans="1:16" x14ac:dyDescent="0.35">
      <c r="A25" s="22"/>
      <c r="C25" s="14"/>
      <c r="D25" s="14"/>
      <c r="E25" s="17"/>
      <c r="F25" s="18"/>
      <c r="G25" s="17"/>
      <c r="H25" s="18"/>
      <c r="I25" s="6" t="s">
        <v>36</v>
      </c>
      <c r="J25" s="6" t="s">
        <v>37</v>
      </c>
    </row>
    <row r="26" spans="1:16" x14ac:dyDescent="0.35">
      <c r="A26" s="22"/>
      <c r="C26" s="8" t="s">
        <v>25</v>
      </c>
      <c r="D26" s="8" t="s">
        <v>3</v>
      </c>
      <c r="E26" s="8" t="s">
        <v>47</v>
      </c>
      <c r="F26" s="8" t="s">
        <v>56</v>
      </c>
      <c r="G26" s="8" t="s">
        <v>5</v>
      </c>
      <c r="H26" s="8" t="s">
        <v>2</v>
      </c>
      <c r="I26" s="8" t="s">
        <v>58</v>
      </c>
      <c r="J26" s="8" t="s">
        <v>59</v>
      </c>
    </row>
    <row r="27" spans="1:16" ht="29" x14ac:dyDescent="0.35">
      <c r="C27" s="4" t="s">
        <v>13</v>
      </c>
      <c r="G27" s="26"/>
      <c r="H27" s="26"/>
      <c r="I27" s="26" t="s">
        <v>57</v>
      </c>
      <c r="J27" s="26"/>
    </row>
    <row r="28" spans="1:16" ht="29" x14ac:dyDescent="0.35">
      <c r="A28" s="7" t="s">
        <v>17</v>
      </c>
      <c r="B28" t="str">
        <f>TRIM(MID(C26,3,2)&amp;" "&amp;MID(D26,3,2)&amp;" "&amp;MID(E26,3,2)&amp;" "&amp;MID(F26,3,2)&amp;" "&amp;MID(G26,3,2)&amp;" "&amp;MID(H26,3,2)&amp;" "&amp;MID(I26,3,2)&amp;" "&amp;MID(J26,3,2)&amp;" "&amp;MID(K26,3,2)&amp;" "&amp;MID(L26,3,2)&amp;" "&amp;MID(M26,3,2)&amp;" "&amp;MID(N26,3,2)&amp;" "&amp;MID(O26,3,2)&amp;" "&amp;MID(P26,3,2))</f>
        <v>FF 03 07 D1 00 01 C0 99</v>
      </c>
    </row>
    <row r="30" spans="1:16" x14ac:dyDescent="0.3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</row>
    <row r="31" spans="1:16" x14ac:dyDescent="0.35">
      <c r="A31" s="9" t="s">
        <v>18</v>
      </c>
    </row>
    <row r="32" spans="1:16" x14ac:dyDescent="0.35">
      <c r="A32" t="s">
        <v>64</v>
      </c>
    </row>
    <row r="33" spans="1:9" x14ac:dyDescent="0.35">
      <c r="B33" t="s">
        <v>4</v>
      </c>
      <c r="C33" s="5">
        <v>0</v>
      </c>
      <c r="D33" s="5">
        <v>1</v>
      </c>
      <c r="E33" s="5">
        <v>2</v>
      </c>
      <c r="F33" s="5">
        <v>3</v>
      </c>
      <c r="G33" s="5">
        <v>4</v>
      </c>
      <c r="H33" s="5">
        <v>5</v>
      </c>
      <c r="I33" s="5">
        <v>6</v>
      </c>
    </row>
    <row r="34" spans="1:9" x14ac:dyDescent="0.35">
      <c r="A34" t="s">
        <v>19</v>
      </c>
      <c r="C34" s="13" t="s">
        <v>0</v>
      </c>
      <c r="D34" s="13" t="s">
        <v>33</v>
      </c>
      <c r="E34" s="13" t="s">
        <v>41</v>
      </c>
      <c r="F34" s="15" t="s">
        <v>60</v>
      </c>
      <c r="G34" s="16"/>
      <c r="H34" s="19" t="s">
        <v>38</v>
      </c>
      <c r="I34" s="20"/>
    </row>
    <row r="35" spans="1:9" x14ac:dyDescent="0.35">
      <c r="C35" s="14"/>
      <c r="D35" s="14"/>
      <c r="E35" s="14"/>
      <c r="F35" s="17"/>
      <c r="G35" s="18"/>
      <c r="H35" s="6" t="s">
        <v>36</v>
      </c>
      <c r="I35" s="6" t="s">
        <v>37</v>
      </c>
    </row>
    <row r="36" spans="1:9" x14ac:dyDescent="0.35">
      <c r="C36" s="5" t="str">
        <f>"0x"&amp;MID(SUBSTITUTE(SUBSTITUTE($A$32,"{",""),"}",""),(COLUMN(A32)-1)*2+1,2)</f>
        <v>0x01</v>
      </c>
      <c r="D36" s="5" t="str">
        <f t="shared" ref="D36:I36" si="1">"0x"&amp;MID(SUBSTITUTE(SUBSTITUTE($A$32,"{",""),"}",""),(COLUMN(B32)-1)*2+1,2)</f>
        <v>0x03</v>
      </c>
      <c r="E36" s="5" t="str">
        <f t="shared" si="1"/>
        <v>0x02</v>
      </c>
      <c r="F36" s="5" t="str">
        <f t="shared" si="1"/>
        <v>0x00</v>
      </c>
      <c r="G36" s="5" t="str">
        <f t="shared" si="1"/>
        <v>0x02</v>
      </c>
      <c r="H36" s="5" t="str">
        <f t="shared" si="1"/>
        <v>0x39</v>
      </c>
      <c r="I36" s="5" t="str">
        <f t="shared" si="1"/>
        <v>0x85</v>
      </c>
    </row>
    <row r="38" spans="1:9" x14ac:dyDescent="0.35">
      <c r="C38" t="s">
        <v>40</v>
      </c>
    </row>
  </sheetData>
  <mergeCells count="26">
    <mergeCell ref="G27:H27"/>
    <mergeCell ref="I27:J27"/>
    <mergeCell ref="C34:C35"/>
    <mergeCell ref="D34:D35"/>
    <mergeCell ref="E34:E35"/>
    <mergeCell ref="F34:G35"/>
    <mergeCell ref="H34:I34"/>
    <mergeCell ref="F13:G14"/>
    <mergeCell ref="A23:A26"/>
    <mergeCell ref="C24:C25"/>
    <mergeCell ref="D24:D25"/>
    <mergeCell ref="E24:F25"/>
    <mergeCell ref="G24:H25"/>
    <mergeCell ref="I24:J24"/>
    <mergeCell ref="H13:I13"/>
    <mergeCell ref="A2:A5"/>
    <mergeCell ref="C3:C4"/>
    <mergeCell ref="D3:D4"/>
    <mergeCell ref="E3:F4"/>
    <mergeCell ref="G3:H4"/>
    <mergeCell ref="I3:J3"/>
    <mergeCell ref="G6:H6"/>
    <mergeCell ref="I6:J6"/>
    <mergeCell ref="C13:C14"/>
    <mergeCell ref="D13:D14"/>
    <mergeCell ref="E13:E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926E-67FD-4A17-8CF3-DF8D0187F65D}">
  <dimension ref="A1:J10"/>
  <sheetViews>
    <sheetView workbookViewId="0">
      <selection activeCell="H9" sqref="H9"/>
    </sheetView>
  </sheetViews>
  <sheetFormatPr defaultRowHeight="14.5" x14ac:dyDescent="0.35"/>
  <sheetData>
    <row r="1" spans="1:10" ht="21" x14ac:dyDescent="0.5">
      <c r="A1" s="3" t="s">
        <v>20</v>
      </c>
    </row>
    <row r="2" spans="1:10" x14ac:dyDescent="0.35">
      <c r="B2" t="s">
        <v>4</v>
      </c>
      <c r="C2" s="5">
        <v>0</v>
      </c>
      <c r="D2" s="5">
        <v>1</v>
      </c>
      <c r="E2" s="5">
        <v>2</v>
      </c>
      <c r="F2" s="5">
        <v>3</v>
      </c>
      <c r="G2" s="5">
        <v>4</v>
      </c>
      <c r="H2" s="5">
        <v>5</v>
      </c>
      <c r="I2" s="5">
        <v>6</v>
      </c>
      <c r="J2" s="5">
        <v>7</v>
      </c>
    </row>
    <row r="3" spans="1:10" ht="43.5" x14ac:dyDescent="0.35">
      <c r="C3" s="6" t="s">
        <v>0</v>
      </c>
      <c r="D3" s="6" t="s">
        <v>1</v>
      </c>
      <c r="E3" s="19" t="s">
        <v>21</v>
      </c>
      <c r="F3" s="20"/>
      <c r="G3" s="19" t="s">
        <v>22</v>
      </c>
      <c r="H3" s="20"/>
      <c r="I3" s="6" t="s">
        <v>23</v>
      </c>
      <c r="J3" s="6" t="s">
        <v>24</v>
      </c>
    </row>
    <row r="4" spans="1:10" x14ac:dyDescent="0.35">
      <c r="C4" s="11" t="s">
        <v>25</v>
      </c>
      <c r="D4" s="11" t="s">
        <v>26</v>
      </c>
      <c r="E4" s="11" t="s">
        <v>5</v>
      </c>
      <c r="F4" s="11" t="s">
        <v>29</v>
      </c>
      <c r="G4" s="11" t="s">
        <v>9</v>
      </c>
      <c r="H4" s="11" t="s">
        <v>5</v>
      </c>
      <c r="I4" s="11" t="s">
        <v>27</v>
      </c>
      <c r="J4" s="11" t="s">
        <v>28</v>
      </c>
    </row>
    <row r="5" spans="1:10" ht="29" x14ac:dyDescent="0.35">
      <c r="A5" s="7" t="s">
        <v>17</v>
      </c>
      <c r="B5" t="str">
        <f>TRIM(MID(C4,3,2)&amp;" "&amp;MID(D4,3,2)&amp;" "&amp;MID(E4,3,2)&amp;" "&amp;"F0"&amp;" "&amp;MID(G4,3,2)&amp;" "&amp;MID(H4,3,2)&amp;" "&amp;MID(I4,3,2)&amp;" "&amp;MID(J4,3,2))</f>
        <v>FF 06 00 F0 00 00 9C 27</v>
      </c>
    </row>
    <row r="7" spans="1:10" x14ac:dyDescent="0.35">
      <c r="C7" t="s">
        <v>31</v>
      </c>
    </row>
    <row r="8" spans="1:10" x14ac:dyDescent="0.35">
      <c r="D8" t="s">
        <v>15</v>
      </c>
    </row>
    <row r="9" spans="1:10" x14ac:dyDescent="0.35">
      <c r="D9" t="s">
        <v>16</v>
      </c>
    </row>
    <row r="10" spans="1:10" x14ac:dyDescent="0.35">
      <c r="C10" t="s">
        <v>32</v>
      </c>
    </row>
  </sheetData>
  <mergeCells count="2">
    <mergeCell ref="E3:F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Read_Data</vt:lpstr>
      <vt:lpstr>Config</vt:lpstr>
      <vt:lpstr>Scan</vt:lpstr>
      <vt:lpstr>F_Reset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Longhoney</dc:creator>
  <cp:lastModifiedBy>Long Dang Hoang</cp:lastModifiedBy>
  <dcterms:created xsi:type="dcterms:W3CDTF">2015-06-05T18:17:20Z</dcterms:created>
  <dcterms:modified xsi:type="dcterms:W3CDTF">2026-04-14T16:42:51Z</dcterms:modified>
</cp:coreProperties>
</file>